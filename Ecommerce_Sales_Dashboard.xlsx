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_Guide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Clean_Data" sheetId="4" state="visible" r:id="rId4"/>
    <sheet xmlns:r="http://schemas.openxmlformats.org/officeDocument/2006/relationships" name="Pivot_Tables" sheetId="5" state="visible" r:id="rId5"/>
    <sheet xmlns:r="http://schemas.openxmlformats.org/officeDocument/2006/relationships" name="Char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[&gt;=10000000]&quot;₹&quot;##\,##\,##\,##0;[&gt;=100000]&quot;₹&quot;##\,##\,##0;&quot;₹&quot;#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color rgb="00C0392B"/>
      <sz val="9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555555"/>
      <sz val="9"/>
    </font>
    <font>
      <name val="Arial"/>
      <b val="1"/>
      <color rgb="000B2452"/>
      <sz val="14"/>
    </font>
    <font>
      <name val="Arial"/>
      <b val="1"/>
      <color rgb="000B2452"/>
      <sz val="12"/>
    </font>
    <font>
      <name val="Arial"/>
      <b val="1"/>
      <color rgb="000B2452"/>
      <sz val="11"/>
    </font>
    <font>
      <name val="Arial"/>
      <b val="1"/>
      <color rgb="00FFFFFF"/>
      <sz val="22"/>
    </font>
    <font>
      <name val="Arial"/>
      <color rgb="00CFE0FA"/>
      <sz val="9"/>
    </font>
    <font>
      <name val="Arial"/>
      <b val="1"/>
      <color rgb="000B2452"/>
      <sz val="10"/>
    </font>
    <font>
      <name val="Arial"/>
      <b val="1"/>
      <color rgb="001F5FBF"/>
      <sz val="20"/>
    </font>
    <font>
      <name val="Arial"/>
      <b val="1"/>
      <color rgb="000B2452"/>
      <sz val="16"/>
    </font>
  </fonts>
  <fills count="9">
    <fill>
      <patternFill/>
    </fill>
    <fill>
      <patternFill patternType="gray125"/>
    </fill>
    <fill>
      <patternFill patternType="solid">
        <fgColor rgb="000B2452"/>
        <bgColor rgb="000B2452"/>
      </patternFill>
    </fill>
    <fill>
      <patternFill patternType="solid">
        <fgColor rgb="00DCE8FA"/>
        <bgColor rgb="00DCE8FA"/>
      </patternFill>
    </fill>
    <fill>
      <patternFill patternType="solid">
        <fgColor rgb="001B4B91"/>
        <bgColor rgb="001B4B91"/>
      </patternFill>
    </fill>
    <fill>
      <patternFill patternType="solid">
        <fgColor rgb="0012336B"/>
        <bgColor rgb="0012336B"/>
      </patternFill>
    </fill>
    <fill>
      <patternFill patternType="solid">
        <fgColor rgb="001F5FBF"/>
        <bgColor rgb="001F5FBF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0D5DB"/>
      </left>
      <right style="thin">
        <color rgb="00D0D5DB"/>
      </right>
      <top style="thin">
        <color rgb="00D0D5DB"/>
      </top>
      <bottom style="thin">
        <color rgb="00D0D5DB"/>
      </bottom>
    </border>
    <border>
      <top style="thick">
        <color rgb="00F5A623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4" borderId="0" pivotButton="0" quotePrefix="0" xfId="0"/>
    <xf numFmtId="0" fontId="10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5" borderId="0" applyAlignment="1" pivotButton="0" quotePrefix="0" xfId="0">
      <alignment horizontal="center"/>
    </xf>
    <xf numFmtId="0" fontId="12" fillId="8" borderId="2" applyAlignment="1" pivotButton="0" quotePrefix="0" xfId="0">
      <alignment horizontal="center" vertical="bottom"/>
    </xf>
    <xf numFmtId="0" fontId="0" fillId="8" borderId="2" pivotButton="0" quotePrefix="0" xfId="0"/>
    <xf numFmtId="0" fontId="0" fillId="5" borderId="0" pivotButton="0" quotePrefix="0" xfId="0"/>
    <xf numFmtId="166" fontId="13" fillId="8" borderId="0" applyAlignment="1" pivotButton="0" quotePrefix="0" xfId="0">
      <alignment horizontal="center" vertical="center"/>
    </xf>
    <xf numFmtId="0" fontId="0" fillId="8" borderId="0" pivotButton="0" quotePrefix="0" xfId="0"/>
    <xf numFmtId="3" fontId="13" fillId="8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1" fillId="5" borderId="0" applyAlignment="1" pivotButton="0" quotePrefix="0" xfId="0">
      <alignment vertical="top" wrapText="1"/>
    </xf>
    <xf numFmtId="0" fontId="14" fillId="0" borderId="0" pivotButton="0" quotePrefix="0" xfId="0"/>
    <xf numFmtId="0" fontId="1" fillId="6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4" fillId="2" borderId="0" pivotButton="0" quotePrefix="0" xfId="0"/>
    <xf numFmtId="166" fontId="2" fillId="0" borderId="0" pivotButton="0" quotePrefix="0" xfId="0"/>
    <xf numFmtId="0" fontId="2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166" fontId="2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'Chart_Data'!H7</f>
            </strRef>
          </tx>
          <spPr>
            <a:ln xmlns:a="http://schemas.openxmlformats.org/drawingml/2006/main" w="30000">
              <a:solidFill>
                <a:srgbClr val="1F5FB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marker>
          <cat>
            <numRef>
              <f>'Chart_Data'!$G$8:$G$16</f>
            </numRef>
          </cat>
          <val>
            <numRef>
              <f>'Chart_Data'!$H$8:$H$16</f>
            </numRef>
          </val>
          <smooth val="0"/>
        </ser>
        <dLbls>
          <numFmt formatCode="#,##0"/>
          <dLblPos val="t"/>
          <showLegendKey val="0"/>
          <showVal val="1"/>
          <showCatName val="0"/>
          <showSerName val="0"/>
          <showPercent val="0"/>
          <showLeaderLines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'Chart_Data'!B7</f>
            </strRef>
          </tx>
          <spPr>
            <a:solidFill xmlns:a="http://schemas.openxmlformats.org/drawingml/2006/main">
              <a:srgbClr val="1F5FBF"/>
            </a:solidFill>
            <a:ln xmlns:a="http://schemas.openxmlformats.org/drawingml/2006/main">
              <a:prstDash val="solid"/>
            </a:ln>
          </spPr>
          <cat>
            <numRef>
              <f>'Chart_Data'!$A$8:$A$12</f>
            </numRef>
          </cat>
          <val>
            <numRef>
              <f>'Chart_Data'!$B$8:$B$12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  <showLeaderLines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'Chart_Data'!E7</f>
            </strRef>
          </tx>
          <spPr>
            <a:solidFill xmlns:a="http://schemas.openxmlformats.org/drawingml/2006/main">
              <a:srgbClr val="1FB5A8"/>
            </a:solidFill>
            <a:ln xmlns:a="http://schemas.openxmlformats.org/drawingml/2006/main">
              <a:prstDash val="solid"/>
            </a:ln>
          </spPr>
          <cat>
            <numRef>
              <f>'Chart_Data'!$D$8:$D$12</f>
            </numRef>
          </cat>
          <val>
            <numRef>
              <f>'Chart_Data'!$E$8:$E$12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  <showLeaderLines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Quarter-wise Revenue Share</a:t>
            </a:r>
          </a:p>
        </rich>
      </tx>
    </title>
    <plotArea>
      <doughnutChart>
        <varyColors val="1"/>
        <ser>
          <idx val="0"/>
          <order val="0"/>
          <tx>
            <strRef>
              <f>'Chart_Data'!K7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5FB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B5A8"/>
              </a:solidFill>
              <a:ln xmlns:a="http://schemas.openxmlformats.org/drawingml/2006/main">
                <a:prstDash val="solid"/>
              </a:ln>
            </spPr>
          </dPt>
          <cat>
            <numRef>
              <f>'Chart_Data'!$J$8:$J$10</f>
            </numRef>
          </cat>
          <val>
            <numRef>
              <f>'Chart_Data'!$K$8:$K$10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4644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4644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22</row>
      <rowOff>0</rowOff>
    </from>
    <ext cx="4644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22</row>
      <rowOff>0</rowOff>
    </from>
    <ext cx="4644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Table" displayName="CleanTable" ref="A1:H101" headerRowCount="1">
  <autoFilter ref="A1:H101"/>
  <tableColumns count="8">
    <tableColumn id="1" name="Order ID"/>
    <tableColumn id="2" name="Date"/>
    <tableColumn id="3" name="Region"/>
    <tableColumn id="4" name="Category"/>
    <tableColumn id="5" name="Quantity"/>
    <tableColumn id="6" name="Revenue"/>
    <tableColumn id="7" name="Month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2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>
      <c r="A2" s="1" t="n"/>
      <c r="B2" s="2" t="inlineStr">
        <is>
          <t>📊  E-COMMERCE SALES PERFORMANCE DASHBOARD  |  2026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1" t="n"/>
    </row>
    <row r="3" ht="24" customHeight="1">
      <c r="A3" s="1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2" customHeight="1">
      <c r="A5" s="1" t="n"/>
      <c r="B5" s="4" t="inlineStr">
        <is>
          <t>🔎 FILTERS (Slicers)</t>
        </is>
      </c>
      <c r="D5" s="1" t="n"/>
      <c r="E5" s="5" t="inlineStr">
        <is>
          <t>💰 TOTAL REVENUE</t>
        </is>
      </c>
      <c r="F5" s="6" t="n"/>
      <c r="G5" s="6" t="n"/>
      <c r="H5" s="5" t="inlineStr">
        <is>
          <t>🛒 TOTAL ORDERS</t>
        </is>
      </c>
      <c r="I5" s="6" t="n"/>
      <c r="J5" s="6" t="n"/>
      <c r="K5" s="5" t="inlineStr">
        <is>
          <t>📦 QUANTITY SOLD</t>
        </is>
      </c>
      <c r="L5" s="6" t="n"/>
      <c r="M5" s="6" t="n"/>
      <c r="N5" s="5" t="inlineStr">
        <is>
          <t>🏷 AVG ORDER VALUE</t>
        </is>
      </c>
      <c r="O5" s="6" t="n"/>
      <c r="P5" s="6" t="n"/>
      <c r="Q5" s="1" t="n"/>
    </row>
    <row r="6" ht="38" customHeight="1">
      <c r="A6" s="1" t="n"/>
      <c r="B6" s="7" t="n"/>
      <c r="C6" s="7" t="n"/>
      <c r="D6" s="1" t="n"/>
      <c r="E6" s="8">
        <f>SUMIFS(Clean_Data!$F$2:$F$101,Clean_Data!$H$2:$H$101,"Valid",Clean_Data!$C$2:$C$101,Chart_Data!$B$2,Clean_Data!$D$2:$D$101,Chart_Data!$B$3,Clean_Data!$G$2:$G$101,Chart_Data!$B$4)</f>
        <v/>
      </c>
      <c r="F6" s="9" t="n"/>
      <c r="G6" s="9" t="n"/>
      <c r="H6" s="10">
        <f>COUNTIFS(Clean_Data!$H$2:$H$101,"Valid",Clean_Data!$C$2:$C$101,Chart_Data!$B$2,Clean_Data!$D$2:$D$101,Chart_Data!$B$3,Clean_Data!$G$2:$G$101,Chart_Data!$B$4)</f>
        <v/>
      </c>
      <c r="I6" s="9" t="n"/>
      <c r="J6" s="9" t="n"/>
      <c r="K6" s="10">
        <f>SUMIFS(Clean_Data!$E$2:$E$101,Clean_Data!$H$2:$H$101,"Valid",Clean_Data!$C$2:$C$101,Chart_Data!$B$2,Clean_Data!$D$2:$D$101,Chart_Data!$B$3,Clean_Data!$G$2:$G$101,Chart_Data!$B$4)</f>
        <v/>
      </c>
      <c r="L6" s="9" t="n"/>
      <c r="M6" s="9" t="n"/>
      <c r="N6" s="8">
        <f>IFERROR(SUMIFS(Clean_Data!$F$2:$F$101,Clean_Data!$H$2:$H$101,"Valid",Clean_Data!$C$2:$C$101,Chart_Data!$B$2,Clean_Data!$D$2:$D$101,Chart_Data!$B$3,Clean_Data!$G$2:$G$101,Chart_Data!$B$4)/COUNTIFS(Clean_Data!$H$2:$H$101,"Valid",Clean_Data!$C$2:$C$101,Chart_Data!$B$2,Clean_Data!$D$2:$D$101,Chart_Data!$B$3,Clean_Data!$G$2:$G$101,Chart_Data!$B$4),0)</f>
        <v/>
      </c>
      <c r="O6" s="9" t="n"/>
      <c r="P6" s="9" t="n"/>
      <c r="Q6" s="1" t="n"/>
    </row>
    <row r="7">
      <c r="A7" s="1" t="n"/>
      <c r="B7" s="11" t="inlineStr">
        <is>
          <t>Region ▼</t>
        </is>
      </c>
      <c r="C7" s="12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24" customHeight="1">
      <c r="A8" s="1" t="n"/>
      <c r="B8" s="13" t="inlineStr">
        <is>
          <t>All</t>
        </is>
      </c>
      <c r="C8" s="14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n"/>
      <c r="B9" s="7" t="n"/>
      <c r="C9" s="7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n"/>
      <c r="B10" s="11" t="inlineStr">
        <is>
          <t>Category ▼</t>
        </is>
      </c>
      <c r="C10" s="12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4" customHeight="1">
      <c r="A11" s="1" t="n"/>
      <c r="B11" s="13" t="inlineStr">
        <is>
          <t>All</t>
        </is>
      </c>
      <c r="C11" s="14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n"/>
      <c r="B12" s="7" t="n"/>
      <c r="C12" s="7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n"/>
      <c r="B13" s="11" t="inlineStr">
        <is>
          <t>Month ▼</t>
        </is>
      </c>
      <c r="C13" s="12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24" customHeight="1">
      <c r="A14" s="1" t="n"/>
      <c r="B14" s="13" t="inlineStr">
        <is>
          <t>All</t>
        </is>
      </c>
      <c r="C14" s="14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7" t="n"/>
      <c r="C15" s="7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7" t="n"/>
      <c r="C16" s="7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5" t="inlineStr">
        <is>
          <t>टीप: Dropdown मधून निवडा. सगळे KPIs आणि charts आपोआप बदलतील. Reset करण्यासाठी तिन्ही मध्ये 'All' निवडा.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7" t="n"/>
      <c r="C21" s="7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7" t="n"/>
      <c r="C22" s="7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7" t="n"/>
      <c r="C23" s="7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7" t="n"/>
      <c r="C24" s="7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7" t="n"/>
      <c r="C25" s="7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7" t="n"/>
      <c r="C26" s="7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7" t="n"/>
      <c r="C27" s="7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7" t="n"/>
      <c r="C28" s="7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7" t="n"/>
      <c r="C29" s="7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7" t="n"/>
      <c r="C30" s="7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7" t="n"/>
      <c r="C31" s="7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7" t="n"/>
      <c r="C32" s="7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7" t="n"/>
      <c r="C33" s="7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7" t="n"/>
      <c r="C34" s="7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7" t="n"/>
      <c r="C35" s="7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7" t="n"/>
      <c r="C36" s="7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7" t="n"/>
      <c r="C37" s="7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7" t="n"/>
      <c r="C38" s="7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7" t="n"/>
      <c r="C39" s="7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</sheetData>
  <mergeCells count="17">
    <mergeCell ref="B13:C13"/>
    <mergeCell ref="H6:J6"/>
    <mergeCell ref="B7:C7"/>
    <mergeCell ref="B11:C11"/>
    <mergeCell ref="B2:P3"/>
    <mergeCell ref="E5:G5"/>
    <mergeCell ref="B5:C5"/>
    <mergeCell ref="H5:J5"/>
    <mergeCell ref="K5:M5"/>
    <mergeCell ref="B10:C10"/>
    <mergeCell ref="K6:M6"/>
    <mergeCell ref="N6:P6"/>
    <mergeCell ref="N5:P5"/>
    <mergeCell ref="B14:C14"/>
    <mergeCell ref="B8:C8"/>
    <mergeCell ref="E6:G6"/>
    <mergeCell ref="B17:C20"/>
  </mergeCells>
  <dataValidations count="3">
    <dataValidation sqref="B8" showDropDown="0" showInputMessage="0" showErrorMessage="0" allowBlank="0" error="यादीतून निवडा" type="list">
      <formula1>"All,Central,East,North,South,West"</formula1>
    </dataValidation>
    <dataValidation sqref="B11" showDropDown="0" showInputMessage="0" showErrorMessage="0" allowBlank="0" error="यादीतून निवडा" type="list">
      <formula1>"All,Electronics,Fashion,Home Decor,Beauty,Sports"</formula1>
    </dataValidation>
    <dataValidation sqref="B14" showDropDown="0" showInputMessage="0" showErrorMessage="0" allowBlank="0" error="यादीतून निवडा" type="list">
      <formula1>"All,Jan,Feb,Mar,Apr,May,Jun,Jul,Aug,Sep"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6" t="inlineStr">
        <is>
          <t>Project Guide (Explain करण्यासाठी)</t>
        </is>
      </c>
    </row>
    <row r="3" ht="38" customHeight="1">
      <c r="A3" s="17" t="inlineStr">
        <is>
          <t>Project काय आहे</t>
        </is>
      </c>
      <c r="B3" s="18" t="inlineStr">
        <is>
          <t>E-commerce कंपनीच्या 100 orders चा छोटा data (Jan-Sep 2026). त्यावर cleaning, pivot summary आणि interactive dashboard बनवला आहे.</t>
        </is>
      </c>
    </row>
    <row r="4" ht="38" customHeight="1">
      <c r="A4" s="17" t="inlineStr">
        <is>
          <t>Business प्रश्न</t>
        </is>
      </c>
      <c r="B4" s="18" t="inlineStr">
        <is>
          <t>कोणत्या Region आणि Category मधून जास्त Revenue येतो? कोणत्या महिन्यात sales वाढला? Average Order Value किती आहे?</t>
        </is>
      </c>
    </row>
    <row r="5" ht="38" customHeight="1">
      <c r="A5" s="17" t="inlineStr">
        <is>
          <t>1. Raw_Data</t>
        </is>
      </c>
      <c r="B5" s="18" t="inlineStr">
        <is>
          <t>मूळ अस्वच्छ data: extra spaces, चुकीचे CAPITAL/small letters, 4 duplicate orders, 2 रिकामे Revenue.</t>
        </is>
      </c>
    </row>
    <row r="6" ht="38" customHeight="1">
      <c r="A6" s="17" t="inlineStr">
        <is>
          <t>2. Clean_Data</t>
        </is>
      </c>
      <c r="B6" s="18" t="inlineStr">
        <is>
          <t>Formulas वापरून cleaning: TRIM, PROPER, COUNTIF, IF. Status column मध्ये Valid / Duplicate / Missing दिसते. हा Excel Table आहे.</t>
        </is>
      </c>
    </row>
    <row r="7" ht="38" customHeight="1">
      <c r="A7" s="17" t="inlineStr">
        <is>
          <t>3. Pivot_Tables</t>
        </is>
      </c>
      <c r="B7" s="18" t="inlineStr">
        <is>
          <t>Region, Category, Month नुसार summary आणि Region x Category cross-tab (SUMIFS / COUNTIFS).</t>
        </is>
      </c>
    </row>
    <row r="8" ht="38" customHeight="1">
      <c r="A8" s="17" t="inlineStr">
        <is>
          <t>4. Chart_Data</t>
        </is>
      </c>
      <c r="B8" s="18" t="inlineStr">
        <is>
          <t>Charts ला लागणारा data. Dropdown बदलला की आपोआप बदलतो.</t>
        </is>
      </c>
    </row>
    <row r="9" ht="38" customHeight="1">
      <c r="A9" s="17" t="inlineStr">
        <is>
          <t>5. Dashboard</t>
        </is>
      </c>
      <c r="B9" s="18" t="inlineStr">
        <is>
          <t>डावीकडे 3 filters (Region, Category, Month), वर 4 KPI cards आणि 4 charts. Filter बदला, सगळे बदलते.</t>
        </is>
      </c>
    </row>
    <row r="10" ht="38" customHeight="1">
      <c r="A10" s="17" t="inlineStr">
        <is>
          <t>Tip: खरा Slicer</t>
        </is>
      </c>
      <c r="B10" s="18" t="inlineStr">
        <is>
          <t>Clean_Data मध्ये table वर click -&gt; Insert -&gt; Slicer -&gt; Region, Category निवडा. PivotTable साठी Insert -&gt; PivotTable.</t>
        </is>
      </c>
    </row>
    <row r="11" ht="38" customHeight="1">
      <c r="A11" s="17" t="inlineStr">
        <is>
          <t>Formulas वापरले</t>
        </is>
      </c>
      <c r="B11" s="18" t="inlineStr">
        <is>
          <t>SUMIFS, COUNTIFS, IFERROR, TRIM, PROPER, COUNTIF, CHOOSE, SUM.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0" customWidth="1" min="5" max="5"/>
    <col width="12" customWidth="1" min="6" max="6"/>
  </cols>
  <sheetData>
    <row r="1">
      <c r="A1" s="19" t="inlineStr">
        <is>
          <t>Order ID</t>
        </is>
      </c>
      <c r="B1" s="19" t="inlineStr">
        <is>
          <t>Date</t>
        </is>
      </c>
      <c r="C1" s="19" t="inlineStr">
        <is>
          <t>Region</t>
        </is>
      </c>
      <c r="D1" s="19" t="inlineStr">
        <is>
          <t>Category</t>
        </is>
      </c>
      <c r="E1" s="19" t="inlineStr">
        <is>
          <t>Quantity</t>
        </is>
      </c>
      <c r="F1" s="19" t="inlineStr">
        <is>
          <t>Revenue</t>
        </is>
      </c>
      <c r="H1" s="20" t="inlineStr">
        <is>
          <t>Note: ही Raw (अस्वच्छ) data आहे - extra spaces, चुकीचे CAPITAL/small letters, 4 duplicate orders आणि 2 रिकामे Revenue मुद्दाम ठेवले आहेत.</t>
        </is>
      </c>
    </row>
    <row r="2">
      <c r="A2" s="21" t="inlineStr">
        <is>
          <t>EC2001</t>
        </is>
      </c>
      <c r="B2" s="22" t="n">
        <v>46023</v>
      </c>
      <c r="C2" s="21" t="inlineStr">
        <is>
          <t>Central</t>
        </is>
      </c>
      <c r="D2" s="21" t="inlineStr">
        <is>
          <t>Home Decor</t>
        </is>
      </c>
      <c r="E2" s="21" t="n">
        <v>3</v>
      </c>
      <c r="F2" s="23" t="n">
        <v>26100</v>
      </c>
    </row>
    <row r="3">
      <c r="A3" s="21" t="inlineStr">
        <is>
          <t>EC2002</t>
        </is>
      </c>
      <c r="B3" s="22" t="n">
        <v>46028</v>
      </c>
      <c r="C3" s="21" t="inlineStr">
        <is>
          <t>East</t>
        </is>
      </c>
      <c r="D3" s="21" t="inlineStr">
        <is>
          <t>Electronics</t>
        </is>
      </c>
      <c r="E3" s="21" t="n">
        <v>4</v>
      </c>
      <c r="F3" s="23" t="n">
        <v>159600</v>
      </c>
    </row>
    <row r="4">
      <c r="A4" s="21" t="inlineStr">
        <is>
          <t>EC2003</t>
        </is>
      </c>
      <c r="B4" s="22" t="n">
        <v>46029</v>
      </c>
      <c r="C4" s="21" t="inlineStr">
        <is>
          <t>NORTH</t>
        </is>
      </c>
      <c r="D4" s="21" t="inlineStr">
        <is>
          <t>HOME DECOR</t>
        </is>
      </c>
      <c r="E4" s="21" t="n">
        <v>3</v>
      </c>
      <c r="F4" s="23" t="n">
        <v>22200</v>
      </c>
    </row>
    <row r="5">
      <c r="A5" s="21" t="inlineStr">
        <is>
          <t>EC2004</t>
        </is>
      </c>
      <c r="B5" s="22" t="n">
        <v>46031</v>
      </c>
      <c r="C5" s="21" t="inlineStr">
        <is>
          <t>South</t>
        </is>
      </c>
      <c r="D5" s="21" t="inlineStr">
        <is>
          <t>Electronics</t>
        </is>
      </c>
      <c r="E5" s="21" t="n">
        <v>3</v>
      </c>
      <c r="F5" s="23" t="n">
        <v>105000</v>
      </c>
    </row>
    <row r="6">
      <c r="A6" s="21" t="inlineStr">
        <is>
          <t>EC2005</t>
        </is>
      </c>
      <c r="B6" s="22" t="n">
        <v>46034</v>
      </c>
      <c r="C6" s="21" t="inlineStr">
        <is>
          <t>east</t>
        </is>
      </c>
      <c r="D6" s="21" t="inlineStr">
        <is>
          <t>Electronics</t>
        </is>
      </c>
      <c r="E6" s="21" t="n">
        <v>2</v>
      </c>
      <c r="F6" s="23" t="n">
        <v>36400</v>
      </c>
    </row>
    <row r="7">
      <c r="A7" s="21" t="inlineStr">
        <is>
          <t>EC2006</t>
        </is>
      </c>
      <c r="B7" s="22" t="n">
        <v>46037</v>
      </c>
      <c r="C7" s="21" t="inlineStr">
        <is>
          <t>Central</t>
        </is>
      </c>
      <c r="D7" s="21" t="inlineStr">
        <is>
          <t>FASHION</t>
        </is>
      </c>
      <c r="E7" s="21" t="n">
        <v>1</v>
      </c>
      <c r="F7" s="23" t="n">
        <v>2600</v>
      </c>
    </row>
    <row r="8">
      <c r="A8" s="21" t="inlineStr">
        <is>
          <t>EC2007</t>
        </is>
      </c>
      <c r="B8" s="22" t="n">
        <v>46037</v>
      </c>
      <c r="C8" s="21" t="inlineStr">
        <is>
          <t>south</t>
        </is>
      </c>
      <c r="D8" s="21" t="inlineStr">
        <is>
          <t>Sports</t>
        </is>
      </c>
      <c r="E8" s="21" t="n">
        <v>1</v>
      </c>
      <c r="F8" s="23" t="n">
        <v>5400</v>
      </c>
    </row>
    <row r="9">
      <c r="A9" s="21" t="inlineStr">
        <is>
          <t>EC2008</t>
        </is>
      </c>
      <c r="B9" s="22" t="n">
        <v>46039</v>
      </c>
      <c r="C9" s="21" t="inlineStr">
        <is>
          <t>North</t>
        </is>
      </c>
      <c r="D9" s="21" t="inlineStr">
        <is>
          <t>home decor</t>
        </is>
      </c>
      <c r="E9" s="21" t="n">
        <v>1</v>
      </c>
      <c r="F9" s="23" t="n">
        <v>7100</v>
      </c>
    </row>
    <row r="10">
      <c r="A10" s="21" t="inlineStr">
        <is>
          <t>EC2009</t>
        </is>
      </c>
      <c r="B10" s="22" t="n">
        <v>46049</v>
      </c>
      <c r="C10" s="21" t="inlineStr">
        <is>
          <t>South</t>
        </is>
      </c>
      <c r="D10" s="21" t="inlineStr">
        <is>
          <t>beauty</t>
        </is>
      </c>
      <c r="E10" s="21" t="n">
        <v>4</v>
      </c>
      <c r="F10" s="23" t="n">
        <v>8400</v>
      </c>
    </row>
    <row r="11">
      <c r="A11" s="21" t="inlineStr">
        <is>
          <t>EC2010</t>
        </is>
      </c>
      <c r="B11" s="22" t="n">
        <v>46057</v>
      </c>
      <c r="C11" s="21" t="inlineStr">
        <is>
          <t>east</t>
        </is>
      </c>
      <c r="D11" s="21" t="inlineStr">
        <is>
          <t>Electronics</t>
        </is>
      </c>
      <c r="E11" s="21" t="n">
        <v>1</v>
      </c>
      <c r="F11" s="23" t="n">
        <v>22000</v>
      </c>
    </row>
    <row r="12">
      <c r="A12" s="21" t="inlineStr">
        <is>
          <t>EC2011</t>
        </is>
      </c>
      <c r="B12" s="22" t="n">
        <v>46060</v>
      </c>
      <c r="C12" s="21" t="inlineStr">
        <is>
          <t>north</t>
        </is>
      </c>
      <c r="D12" s="21" t="inlineStr">
        <is>
          <t>sports</t>
        </is>
      </c>
      <c r="E12" s="21" t="n">
        <v>2</v>
      </c>
      <c r="F12" s="23" t="n">
        <v>13400</v>
      </c>
    </row>
    <row r="13">
      <c r="A13" s="21" t="inlineStr">
        <is>
          <t>EC2012</t>
        </is>
      </c>
      <c r="B13" s="22" t="n">
        <v>46060</v>
      </c>
      <c r="C13" s="21" t="inlineStr">
        <is>
          <t xml:space="preserve"> West </t>
        </is>
      </c>
      <c r="D13" s="21" t="inlineStr">
        <is>
          <t xml:space="preserve"> Electronics </t>
        </is>
      </c>
      <c r="E13" s="21" t="n">
        <v>1</v>
      </c>
      <c r="F13" s="23" t="n">
        <v>21700</v>
      </c>
    </row>
    <row r="14">
      <c r="A14" s="21" t="inlineStr">
        <is>
          <t>EC2013</t>
        </is>
      </c>
      <c r="B14" s="22" t="n">
        <v>46060</v>
      </c>
      <c r="C14" s="21" t="inlineStr">
        <is>
          <t>East</t>
        </is>
      </c>
      <c r="D14" s="21" t="inlineStr">
        <is>
          <t>Home Decor</t>
        </is>
      </c>
      <c r="E14" s="21" t="n">
        <v>2</v>
      </c>
      <c r="F14" s="23" t="n">
        <v>18000</v>
      </c>
    </row>
    <row r="15">
      <c r="A15" s="21" t="inlineStr">
        <is>
          <t>EC2014</t>
        </is>
      </c>
      <c r="B15" s="22" t="n">
        <v>46061</v>
      </c>
      <c r="C15" s="21" t="inlineStr">
        <is>
          <t>North</t>
        </is>
      </c>
      <c r="D15" s="21" t="inlineStr">
        <is>
          <t>BEAUTY</t>
        </is>
      </c>
      <c r="E15" s="21" t="n">
        <v>1</v>
      </c>
      <c r="F15" s="23" t="n">
        <v>1800</v>
      </c>
    </row>
    <row r="16">
      <c r="A16" s="21" t="inlineStr">
        <is>
          <t>EC2015</t>
        </is>
      </c>
      <c r="B16" s="22" t="n">
        <v>46064</v>
      </c>
      <c r="C16" s="21" t="inlineStr">
        <is>
          <t>South</t>
        </is>
      </c>
      <c r="D16" s="21" t="inlineStr">
        <is>
          <t>Electronics</t>
        </is>
      </c>
      <c r="E16" s="21" t="n">
        <v>1</v>
      </c>
      <c r="F16" s="23" t="n"/>
    </row>
    <row r="17">
      <c r="A17" s="21" t="inlineStr">
        <is>
          <t>EC2016</t>
        </is>
      </c>
      <c r="B17" s="22" t="n">
        <v>46065</v>
      </c>
      <c r="C17" s="21" t="inlineStr">
        <is>
          <t>west</t>
        </is>
      </c>
      <c r="D17" s="21" t="inlineStr">
        <is>
          <t>Sports</t>
        </is>
      </c>
      <c r="E17" s="21" t="n">
        <v>1</v>
      </c>
      <c r="F17" s="23" t="n">
        <v>3700</v>
      </c>
    </row>
    <row r="18">
      <c r="A18" s="21" t="inlineStr">
        <is>
          <t>EC2017</t>
        </is>
      </c>
      <c r="B18" s="22" t="n">
        <v>46066</v>
      </c>
      <c r="C18" s="21" t="inlineStr">
        <is>
          <t xml:space="preserve"> Central </t>
        </is>
      </c>
      <c r="D18" s="21" t="inlineStr">
        <is>
          <t>Beauty</t>
        </is>
      </c>
      <c r="E18" s="21" t="n">
        <v>1</v>
      </c>
      <c r="F18" s="23" t="n">
        <v>2200</v>
      </c>
    </row>
    <row r="19">
      <c r="A19" s="21" t="inlineStr">
        <is>
          <t>EC2018</t>
        </is>
      </c>
      <c r="B19" s="22" t="n">
        <v>46067</v>
      </c>
      <c r="C19" s="21" t="inlineStr">
        <is>
          <t xml:space="preserve"> Central </t>
        </is>
      </c>
      <c r="D19" s="21" t="inlineStr">
        <is>
          <t>Beauty</t>
        </is>
      </c>
      <c r="E19" s="21" t="n">
        <v>1</v>
      </c>
      <c r="F19" s="23" t="n">
        <v>1400</v>
      </c>
    </row>
    <row r="20">
      <c r="A20" s="21" t="inlineStr">
        <is>
          <t>EC2019</t>
        </is>
      </c>
      <c r="B20" s="22" t="n">
        <v>46067</v>
      </c>
      <c r="C20" s="21" t="inlineStr">
        <is>
          <t>South</t>
        </is>
      </c>
      <c r="D20" s="21" t="inlineStr">
        <is>
          <t>BEAUTY</t>
        </is>
      </c>
      <c r="E20" s="21" t="n">
        <v>4</v>
      </c>
      <c r="F20" s="23" t="n">
        <v>4000</v>
      </c>
    </row>
    <row r="21">
      <c r="A21" s="21" t="inlineStr">
        <is>
          <t>EC2020</t>
        </is>
      </c>
      <c r="B21" s="22" t="n">
        <v>46067</v>
      </c>
      <c r="C21" s="21" t="inlineStr">
        <is>
          <t>Central</t>
        </is>
      </c>
      <c r="D21" s="21" t="inlineStr">
        <is>
          <t>Home Decor</t>
        </is>
      </c>
      <c r="E21" s="21" t="n">
        <v>3</v>
      </c>
      <c r="F21" s="23" t="n">
        <v>10800</v>
      </c>
    </row>
    <row r="22">
      <c r="A22" s="21" t="inlineStr">
        <is>
          <t>EC2021</t>
        </is>
      </c>
      <c r="B22" s="22" t="n">
        <v>46067</v>
      </c>
      <c r="C22" s="21" t="inlineStr">
        <is>
          <t>West</t>
        </is>
      </c>
      <c r="D22" s="21" t="inlineStr">
        <is>
          <t xml:space="preserve"> Fashion </t>
        </is>
      </c>
      <c r="E22" s="21" t="n">
        <v>4</v>
      </c>
      <c r="F22" s="23" t="n">
        <v>12000</v>
      </c>
    </row>
    <row r="23">
      <c r="A23" s="21" t="inlineStr">
        <is>
          <t>EC2022</t>
        </is>
      </c>
      <c r="B23" s="22" t="n">
        <v>46069</v>
      </c>
      <c r="C23" s="21" t="inlineStr">
        <is>
          <t>south</t>
        </is>
      </c>
      <c r="D23" s="21" t="inlineStr">
        <is>
          <t>Sports</t>
        </is>
      </c>
      <c r="E23" s="21" t="n">
        <v>1</v>
      </c>
      <c r="F23" s="23" t="n">
        <v>6100</v>
      </c>
    </row>
    <row r="24">
      <c r="A24" s="21" t="inlineStr">
        <is>
          <t>EC2023</t>
        </is>
      </c>
      <c r="B24" s="22" t="n">
        <v>46073</v>
      </c>
      <c r="C24" s="21" t="inlineStr">
        <is>
          <t>South</t>
        </is>
      </c>
      <c r="D24" s="21" t="inlineStr">
        <is>
          <t>Electronics</t>
        </is>
      </c>
      <c r="E24" s="21" t="n">
        <v>2</v>
      </c>
      <c r="F24" s="23" t="n">
        <v>47800</v>
      </c>
    </row>
    <row r="25">
      <c r="A25" s="21" t="inlineStr">
        <is>
          <t>EC2024</t>
        </is>
      </c>
      <c r="B25" s="22" t="n">
        <v>46074</v>
      </c>
      <c r="C25" s="21" t="inlineStr">
        <is>
          <t xml:space="preserve"> South </t>
        </is>
      </c>
      <c r="D25" s="21" t="inlineStr">
        <is>
          <t>electronics</t>
        </is>
      </c>
      <c r="E25" s="21" t="n">
        <v>2</v>
      </c>
      <c r="F25" s="23" t="n">
        <v>44000</v>
      </c>
    </row>
    <row r="26">
      <c r="A26" s="21" t="inlineStr">
        <is>
          <t>EC2025</t>
        </is>
      </c>
      <c r="B26" s="22" t="n">
        <v>46078</v>
      </c>
      <c r="C26" s="21" t="inlineStr">
        <is>
          <t>south</t>
        </is>
      </c>
      <c r="D26" s="21" t="inlineStr">
        <is>
          <t>beauty</t>
        </is>
      </c>
      <c r="E26" s="21" t="n">
        <v>1</v>
      </c>
      <c r="F26" s="23" t="n">
        <v>1700</v>
      </c>
    </row>
    <row r="27">
      <c r="A27" s="21" t="inlineStr">
        <is>
          <t>EC2026</t>
        </is>
      </c>
      <c r="B27" s="22" t="n">
        <v>46081</v>
      </c>
      <c r="C27" s="21" t="inlineStr">
        <is>
          <t>south</t>
        </is>
      </c>
      <c r="D27" s="21" t="inlineStr">
        <is>
          <t>SPORTS</t>
        </is>
      </c>
      <c r="E27" s="21" t="n">
        <v>1</v>
      </c>
      <c r="F27" s="23" t="n">
        <v>6200</v>
      </c>
    </row>
    <row r="28">
      <c r="A28" s="21" t="inlineStr">
        <is>
          <t>EC2027</t>
        </is>
      </c>
      <c r="B28" s="22" t="n">
        <v>46085</v>
      </c>
      <c r="C28" s="21" t="inlineStr">
        <is>
          <t>Central</t>
        </is>
      </c>
      <c r="D28" s="21" t="inlineStr">
        <is>
          <t>Beauty</t>
        </is>
      </c>
      <c r="E28" s="21" t="n">
        <v>1</v>
      </c>
      <c r="F28" s="23" t="n">
        <v>1200</v>
      </c>
    </row>
    <row r="29">
      <c r="A29" s="21" t="inlineStr">
        <is>
          <t>EC2028</t>
        </is>
      </c>
      <c r="B29" s="22" t="n">
        <v>46085</v>
      </c>
      <c r="C29" s="21" t="inlineStr">
        <is>
          <t>west</t>
        </is>
      </c>
      <c r="D29" s="21" t="inlineStr">
        <is>
          <t>Sports</t>
        </is>
      </c>
      <c r="E29" s="21" t="n">
        <v>3</v>
      </c>
      <c r="F29" s="23" t="n">
        <v>8400</v>
      </c>
    </row>
    <row r="30">
      <c r="A30" s="21" t="inlineStr">
        <is>
          <t>EC2029</t>
        </is>
      </c>
      <c r="B30" s="22" t="n">
        <v>46091</v>
      </c>
      <c r="C30" s="21" t="inlineStr">
        <is>
          <t>central</t>
        </is>
      </c>
      <c r="D30" s="21" t="inlineStr">
        <is>
          <t>beauty</t>
        </is>
      </c>
      <c r="E30" s="21" t="n">
        <v>3</v>
      </c>
      <c r="F30" s="23" t="n">
        <v>2100</v>
      </c>
    </row>
    <row r="31">
      <c r="A31" s="21" t="inlineStr">
        <is>
          <t>EC2030</t>
        </is>
      </c>
      <c r="B31" s="22" t="n">
        <v>46092</v>
      </c>
      <c r="C31" s="21" t="inlineStr">
        <is>
          <t xml:space="preserve"> West </t>
        </is>
      </c>
      <c r="D31" s="21" t="inlineStr">
        <is>
          <t xml:space="preserve"> Electronics </t>
        </is>
      </c>
      <c r="E31" s="21" t="n">
        <v>1</v>
      </c>
      <c r="F31" s="23" t="n">
        <v>37700</v>
      </c>
    </row>
    <row r="32">
      <c r="A32" s="21" t="inlineStr">
        <is>
          <t>EC2031</t>
        </is>
      </c>
      <c r="B32" s="22" t="n">
        <v>46093</v>
      </c>
      <c r="C32" s="21" t="inlineStr">
        <is>
          <t xml:space="preserve"> West </t>
        </is>
      </c>
      <c r="D32" s="21" t="inlineStr">
        <is>
          <t>BEAUTY</t>
        </is>
      </c>
      <c r="E32" s="21" t="n">
        <v>3</v>
      </c>
      <c r="F32" s="23" t="n">
        <v>7800</v>
      </c>
    </row>
    <row r="33">
      <c r="A33" s="21" t="inlineStr">
        <is>
          <t>EC2032</t>
        </is>
      </c>
      <c r="B33" s="22" t="n">
        <v>46094</v>
      </c>
      <c r="C33" s="21" t="inlineStr">
        <is>
          <t xml:space="preserve"> South </t>
        </is>
      </c>
      <c r="D33" s="21" t="inlineStr">
        <is>
          <t>Sports</t>
        </is>
      </c>
      <c r="E33" s="21" t="n">
        <v>1</v>
      </c>
      <c r="F33" s="23" t="n">
        <v>1300</v>
      </c>
    </row>
    <row r="34">
      <c r="A34" s="21" t="inlineStr">
        <is>
          <t>EC2033</t>
        </is>
      </c>
      <c r="B34" s="22" t="n">
        <v>46111</v>
      </c>
      <c r="C34" s="21" t="inlineStr">
        <is>
          <t>east</t>
        </is>
      </c>
      <c r="D34" s="21" t="inlineStr">
        <is>
          <t>SPORTS</t>
        </is>
      </c>
      <c r="E34" s="21" t="n">
        <v>3</v>
      </c>
      <c r="F34" s="23" t="n">
        <v>20400</v>
      </c>
    </row>
    <row r="35">
      <c r="A35" s="21" t="inlineStr">
        <is>
          <t>EC2034</t>
        </is>
      </c>
      <c r="B35" s="22" t="n">
        <v>46112</v>
      </c>
      <c r="C35" s="21" t="inlineStr">
        <is>
          <t xml:space="preserve"> South </t>
        </is>
      </c>
      <c r="D35" s="21" t="inlineStr">
        <is>
          <t xml:space="preserve"> Electronics </t>
        </is>
      </c>
      <c r="E35" s="21" t="n">
        <v>2</v>
      </c>
      <c r="F35" s="23" t="n">
        <v>46000</v>
      </c>
    </row>
    <row r="36">
      <c r="A36" s="21" t="inlineStr">
        <is>
          <t>EC2035</t>
        </is>
      </c>
      <c r="B36" s="22" t="n">
        <v>46118</v>
      </c>
      <c r="C36" s="21" t="inlineStr">
        <is>
          <t xml:space="preserve"> East </t>
        </is>
      </c>
      <c r="D36" s="21" t="inlineStr">
        <is>
          <t>Electronics</t>
        </is>
      </c>
      <c r="E36" s="21" t="n">
        <v>4</v>
      </c>
      <c r="F36" s="23" t="n">
        <v>111600</v>
      </c>
    </row>
    <row r="37">
      <c r="A37" s="21" t="inlineStr">
        <is>
          <t>EC2036</t>
        </is>
      </c>
      <c r="B37" s="22" t="n">
        <v>46119</v>
      </c>
      <c r="C37" s="21" t="inlineStr">
        <is>
          <t>South</t>
        </is>
      </c>
      <c r="D37" s="21" t="inlineStr">
        <is>
          <t>beauty</t>
        </is>
      </c>
      <c r="E37" s="21" t="n">
        <v>2</v>
      </c>
      <c r="F37" s="23" t="n">
        <v>2000</v>
      </c>
    </row>
    <row r="38">
      <c r="A38" s="21" t="inlineStr">
        <is>
          <t>EC2037</t>
        </is>
      </c>
      <c r="B38" s="22" t="n">
        <v>46120</v>
      </c>
      <c r="C38" s="21" t="inlineStr">
        <is>
          <t>West</t>
        </is>
      </c>
      <c r="D38" s="21" t="inlineStr">
        <is>
          <t>FASHION</t>
        </is>
      </c>
      <c r="E38" s="21" t="n">
        <v>4</v>
      </c>
      <c r="F38" s="23" t="n">
        <v>13600</v>
      </c>
    </row>
    <row r="39">
      <c r="A39" s="21" t="inlineStr">
        <is>
          <t>EC2038</t>
        </is>
      </c>
      <c r="B39" s="22" t="n">
        <v>46123</v>
      </c>
      <c r="C39" s="21" t="inlineStr">
        <is>
          <t>central</t>
        </is>
      </c>
      <c r="D39" s="21" t="inlineStr">
        <is>
          <t>Beauty</t>
        </is>
      </c>
      <c r="E39" s="21" t="n">
        <v>4</v>
      </c>
      <c r="F39" s="23" t="n">
        <v>12000</v>
      </c>
    </row>
    <row r="40">
      <c r="A40" s="21" t="inlineStr">
        <is>
          <t>EC2039</t>
        </is>
      </c>
      <c r="B40" s="22" t="n">
        <v>46124</v>
      </c>
      <c r="C40" s="21" t="inlineStr">
        <is>
          <t>South</t>
        </is>
      </c>
      <c r="D40" s="21" t="inlineStr">
        <is>
          <t>Beauty</t>
        </is>
      </c>
      <c r="E40" s="21" t="n">
        <v>2</v>
      </c>
      <c r="F40" s="23" t="n">
        <v>2800</v>
      </c>
    </row>
    <row r="41">
      <c r="A41" s="21" t="inlineStr">
        <is>
          <t>EC2040</t>
        </is>
      </c>
      <c r="B41" s="22" t="n">
        <v>46125</v>
      </c>
      <c r="C41" s="21" t="inlineStr">
        <is>
          <t>Central</t>
        </is>
      </c>
      <c r="D41" s="21" t="inlineStr">
        <is>
          <t>Beauty</t>
        </is>
      </c>
      <c r="E41" s="21" t="n">
        <v>3</v>
      </c>
      <c r="F41" s="23" t="n">
        <v>3600</v>
      </c>
    </row>
    <row r="42">
      <c r="A42" s="21" t="inlineStr">
        <is>
          <t>EC2041</t>
        </is>
      </c>
      <c r="B42" s="22" t="n">
        <v>46126</v>
      </c>
      <c r="C42" s="21" t="inlineStr">
        <is>
          <t>south</t>
        </is>
      </c>
      <c r="D42" s="21" t="inlineStr">
        <is>
          <t>Sports</t>
        </is>
      </c>
      <c r="E42" s="21" t="n">
        <v>2</v>
      </c>
      <c r="F42" s="23" t="n">
        <v>8000</v>
      </c>
    </row>
    <row r="43">
      <c r="A43" s="21" t="inlineStr">
        <is>
          <t>EC2042</t>
        </is>
      </c>
      <c r="B43" s="22" t="n">
        <v>46129</v>
      </c>
      <c r="C43" s="21" t="inlineStr">
        <is>
          <t>WEST</t>
        </is>
      </c>
      <c r="D43" s="21" t="inlineStr">
        <is>
          <t>Home Decor</t>
        </is>
      </c>
      <c r="E43" s="21" t="n">
        <v>2</v>
      </c>
      <c r="F43" s="23" t="n">
        <v>12000</v>
      </c>
    </row>
    <row r="44">
      <c r="A44" s="21" t="inlineStr">
        <is>
          <t>EC2043</t>
        </is>
      </c>
      <c r="B44" s="22" t="n">
        <v>46130</v>
      </c>
      <c r="C44" s="21" t="inlineStr">
        <is>
          <t>WEST</t>
        </is>
      </c>
      <c r="D44" s="21" t="inlineStr">
        <is>
          <t>fashion</t>
        </is>
      </c>
      <c r="E44" s="21" t="n">
        <v>4</v>
      </c>
      <c r="F44" s="23" t="n">
        <v>13200</v>
      </c>
    </row>
    <row r="45">
      <c r="A45" s="21" t="inlineStr">
        <is>
          <t>EC2044</t>
        </is>
      </c>
      <c r="B45" s="22" t="n">
        <v>46135</v>
      </c>
      <c r="C45" s="21" t="inlineStr">
        <is>
          <t>East</t>
        </is>
      </c>
      <c r="D45" s="21" t="inlineStr">
        <is>
          <t>sports</t>
        </is>
      </c>
      <c r="E45" s="21" t="n">
        <v>3</v>
      </c>
      <c r="F45" s="23" t="n">
        <v>8700</v>
      </c>
    </row>
    <row r="46">
      <c r="A46" s="21" t="inlineStr">
        <is>
          <t>EC2045</t>
        </is>
      </c>
      <c r="B46" s="22" t="n">
        <v>46140</v>
      </c>
      <c r="C46" s="21" t="inlineStr">
        <is>
          <t>Central</t>
        </is>
      </c>
      <c r="D46" s="21" t="inlineStr">
        <is>
          <t>sports</t>
        </is>
      </c>
      <c r="E46" s="21" t="n">
        <v>3</v>
      </c>
      <c r="F46" s="23" t="n">
        <v>4200</v>
      </c>
    </row>
    <row r="47">
      <c r="A47" s="21" t="inlineStr">
        <is>
          <t>EC2046</t>
        </is>
      </c>
      <c r="B47" s="22" t="n">
        <v>46144</v>
      </c>
      <c r="C47" s="21" t="inlineStr">
        <is>
          <t>CENTRAL</t>
        </is>
      </c>
      <c r="D47" s="21" t="inlineStr">
        <is>
          <t>Fashion</t>
        </is>
      </c>
      <c r="E47" s="21" t="n">
        <v>1</v>
      </c>
      <c r="F47" s="23" t="n">
        <v>3400</v>
      </c>
    </row>
    <row r="48">
      <c r="A48" s="21" t="inlineStr">
        <is>
          <t>EC2047</t>
        </is>
      </c>
      <c r="B48" s="22" t="n">
        <v>46146</v>
      </c>
      <c r="C48" s="21" t="inlineStr">
        <is>
          <t xml:space="preserve"> North </t>
        </is>
      </c>
      <c r="D48" s="21" t="inlineStr">
        <is>
          <t xml:space="preserve"> Sports </t>
        </is>
      </c>
      <c r="E48" s="21" t="n">
        <v>1</v>
      </c>
      <c r="F48" s="23" t="n">
        <v>5000</v>
      </c>
    </row>
    <row r="49">
      <c r="A49" s="21" t="inlineStr">
        <is>
          <t>EC2048</t>
        </is>
      </c>
      <c r="B49" s="22" t="n">
        <v>46147</v>
      </c>
      <c r="C49" s="21" t="inlineStr">
        <is>
          <t>west</t>
        </is>
      </c>
      <c r="D49" s="21" t="inlineStr">
        <is>
          <t>ELECTRONICS</t>
        </is>
      </c>
      <c r="E49" s="21" t="n">
        <v>3</v>
      </c>
      <c r="F49" s="23" t="n">
        <v>97200</v>
      </c>
    </row>
    <row r="50">
      <c r="A50" s="21" t="inlineStr">
        <is>
          <t>EC2049</t>
        </is>
      </c>
      <c r="B50" s="22" t="n">
        <v>46148</v>
      </c>
      <c r="C50" s="21" t="inlineStr">
        <is>
          <t>south</t>
        </is>
      </c>
      <c r="D50" s="21" t="inlineStr">
        <is>
          <t>Sports</t>
        </is>
      </c>
      <c r="E50" s="21" t="n">
        <v>4</v>
      </c>
      <c r="F50" s="23" t="n">
        <v>8400</v>
      </c>
    </row>
    <row r="51">
      <c r="A51" s="21" t="inlineStr">
        <is>
          <t>EC2050</t>
        </is>
      </c>
      <c r="B51" s="22" t="n">
        <v>46150</v>
      </c>
      <c r="C51" s="21" t="inlineStr">
        <is>
          <t>WEST</t>
        </is>
      </c>
      <c r="D51" s="21" t="inlineStr">
        <is>
          <t>fashion</t>
        </is>
      </c>
      <c r="E51" s="21" t="n">
        <v>2</v>
      </c>
      <c r="F51" s="23" t="n">
        <v>7600</v>
      </c>
    </row>
    <row r="52">
      <c r="A52" s="21" t="inlineStr">
        <is>
          <t>EC2051</t>
        </is>
      </c>
      <c r="B52" s="22" t="n">
        <v>46150</v>
      </c>
      <c r="C52" s="21" t="inlineStr">
        <is>
          <t>North</t>
        </is>
      </c>
      <c r="D52" s="21" t="inlineStr">
        <is>
          <t>Electronics</t>
        </is>
      </c>
      <c r="E52" s="21" t="n">
        <v>1</v>
      </c>
      <c r="F52" s="23" t="n">
        <v>19600</v>
      </c>
    </row>
    <row r="53">
      <c r="A53" s="21" t="inlineStr">
        <is>
          <t>EC2052</t>
        </is>
      </c>
      <c r="B53" s="22" t="n">
        <v>46154</v>
      </c>
      <c r="C53" s="21" t="inlineStr">
        <is>
          <t>West</t>
        </is>
      </c>
      <c r="D53" s="21" t="inlineStr">
        <is>
          <t>beauty</t>
        </is>
      </c>
      <c r="E53" s="21" t="n">
        <v>4</v>
      </c>
      <c r="F53" s="23" t="n">
        <v>6800</v>
      </c>
    </row>
    <row r="54">
      <c r="A54" s="21" t="inlineStr">
        <is>
          <t>EC2053</t>
        </is>
      </c>
      <c r="B54" s="22" t="n">
        <v>46154</v>
      </c>
      <c r="C54" s="21" t="inlineStr">
        <is>
          <t>WEST</t>
        </is>
      </c>
      <c r="D54" s="21" t="inlineStr">
        <is>
          <t>Home Decor</t>
        </is>
      </c>
      <c r="E54" s="21" t="n">
        <v>4</v>
      </c>
      <c r="F54" s="23" t="n">
        <v>33600</v>
      </c>
    </row>
    <row r="55">
      <c r="A55" s="21" t="inlineStr">
        <is>
          <t>EC2054</t>
        </is>
      </c>
      <c r="B55" s="22" t="n">
        <v>46155</v>
      </c>
      <c r="C55" s="21" t="inlineStr">
        <is>
          <t>SOUTH</t>
        </is>
      </c>
      <c r="D55" s="21" t="inlineStr">
        <is>
          <t>ELECTRONICS</t>
        </is>
      </c>
      <c r="E55" s="21" t="n">
        <v>3</v>
      </c>
      <c r="F55" s="23" t="n">
        <v>82200</v>
      </c>
    </row>
    <row r="56">
      <c r="A56" s="21" t="inlineStr">
        <is>
          <t>EC2055</t>
        </is>
      </c>
      <c r="B56" s="22" t="n">
        <v>46162</v>
      </c>
      <c r="C56" s="21" t="inlineStr">
        <is>
          <t xml:space="preserve"> East </t>
        </is>
      </c>
      <c r="D56" s="21" t="inlineStr">
        <is>
          <t>home decor</t>
        </is>
      </c>
      <c r="E56" s="21" t="n">
        <v>2</v>
      </c>
      <c r="F56" s="23" t="n">
        <v>9400</v>
      </c>
    </row>
    <row r="57">
      <c r="A57" s="21" t="inlineStr">
        <is>
          <t>EC2056</t>
        </is>
      </c>
      <c r="B57" s="22" t="n">
        <v>46162</v>
      </c>
      <c r="C57" s="21" t="inlineStr">
        <is>
          <t>south</t>
        </is>
      </c>
      <c r="D57" s="21" t="inlineStr">
        <is>
          <t>Sports</t>
        </is>
      </c>
      <c r="E57" s="21" t="n">
        <v>4</v>
      </c>
      <c r="F57" s="23" t="n">
        <v>11200</v>
      </c>
    </row>
    <row r="58">
      <c r="A58" s="21" t="inlineStr">
        <is>
          <t>EC2057</t>
        </is>
      </c>
      <c r="B58" s="22" t="n">
        <v>46163</v>
      </c>
      <c r="C58" s="21" t="inlineStr">
        <is>
          <t xml:space="preserve"> West </t>
        </is>
      </c>
      <c r="D58" s="21" t="inlineStr">
        <is>
          <t>FASHION</t>
        </is>
      </c>
      <c r="E58" s="21" t="n">
        <v>4</v>
      </c>
      <c r="F58" s="23" t="n">
        <v>9600</v>
      </c>
    </row>
    <row r="59">
      <c r="A59" s="21" t="inlineStr">
        <is>
          <t>EC2058</t>
        </is>
      </c>
      <c r="B59" s="22" t="n">
        <v>46164</v>
      </c>
      <c r="C59" s="21" t="inlineStr">
        <is>
          <t>south</t>
        </is>
      </c>
      <c r="D59" s="21" t="inlineStr">
        <is>
          <t xml:space="preserve"> Fashion </t>
        </is>
      </c>
      <c r="E59" s="21" t="n">
        <v>1</v>
      </c>
      <c r="F59" s="23" t="n">
        <v>2600</v>
      </c>
    </row>
    <row r="60">
      <c r="A60" s="21" t="inlineStr">
        <is>
          <t>EC2059</t>
        </is>
      </c>
      <c r="B60" s="22" t="n">
        <v>46165</v>
      </c>
      <c r="C60" s="21" t="inlineStr">
        <is>
          <t>North</t>
        </is>
      </c>
      <c r="D60" s="21" t="inlineStr">
        <is>
          <t>beauty</t>
        </is>
      </c>
      <c r="E60" s="21" t="n">
        <v>1</v>
      </c>
      <c r="F60" s="23" t="n">
        <v>1500</v>
      </c>
    </row>
    <row r="61">
      <c r="A61" s="21" t="inlineStr">
        <is>
          <t>EC2060</t>
        </is>
      </c>
      <c r="B61" s="22" t="n">
        <v>46171</v>
      </c>
      <c r="C61" s="21" t="inlineStr">
        <is>
          <t>west</t>
        </is>
      </c>
      <c r="D61" s="21" t="inlineStr">
        <is>
          <t>SPORTS</t>
        </is>
      </c>
      <c r="E61" s="21" t="n">
        <v>2</v>
      </c>
      <c r="F61" s="23" t="n">
        <v>11000</v>
      </c>
    </row>
    <row r="62">
      <c r="A62" s="21" t="inlineStr">
        <is>
          <t>EC2061</t>
        </is>
      </c>
      <c r="B62" s="22" t="n">
        <v>46173</v>
      </c>
      <c r="C62" s="21" t="inlineStr">
        <is>
          <t xml:space="preserve"> South </t>
        </is>
      </c>
      <c r="D62" s="21" t="inlineStr">
        <is>
          <t>Beauty</t>
        </is>
      </c>
      <c r="E62" s="21" t="n">
        <v>1</v>
      </c>
      <c r="F62" s="23" t="n"/>
    </row>
    <row r="63">
      <c r="A63" s="21" t="inlineStr">
        <is>
          <t>EC2062</t>
        </is>
      </c>
      <c r="B63" s="22" t="n">
        <v>46192</v>
      </c>
      <c r="C63" s="21" t="inlineStr">
        <is>
          <t>South</t>
        </is>
      </c>
      <c r="D63" s="21" t="inlineStr">
        <is>
          <t>Beauty</t>
        </is>
      </c>
      <c r="E63" s="21" t="n">
        <v>4</v>
      </c>
      <c r="F63" s="23" t="n">
        <v>9200</v>
      </c>
    </row>
    <row r="64">
      <c r="A64" s="21" t="inlineStr">
        <is>
          <t>EC2063</t>
        </is>
      </c>
      <c r="B64" s="22" t="n">
        <v>46195</v>
      </c>
      <c r="C64" s="21" t="inlineStr">
        <is>
          <t>central</t>
        </is>
      </c>
      <c r="D64" s="21" t="inlineStr">
        <is>
          <t>ELECTRONICS</t>
        </is>
      </c>
      <c r="E64" s="21" t="n">
        <v>3</v>
      </c>
      <c r="F64" s="23" t="n">
        <v>89400</v>
      </c>
    </row>
    <row r="65">
      <c r="A65" s="21" t="inlineStr">
        <is>
          <t>EC2064</t>
        </is>
      </c>
      <c r="B65" s="22" t="n">
        <v>46198</v>
      </c>
      <c r="C65" s="21" t="inlineStr">
        <is>
          <t>SOUTH</t>
        </is>
      </c>
      <c r="D65" s="21" t="inlineStr">
        <is>
          <t>SPORTS</t>
        </is>
      </c>
      <c r="E65" s="21" t="n">
        <v>4</v>
      </c>
      <c r="F65" s="23" t="n">
        <v>14000</v>
      </c>
    </row>
    <row r="66">
      <c r="A66" s="21" t="inlineStr">
        <is>
          <t>EC2065</t>
        </is>
      </c>
      <c r="B66" s="22" t="n">
        <v>46201</v>
      </c>
      <c r="C66" s="21" t="inlineStr">
        <is>
          <t>South</t>
        </is>
      </c>
      <c r="D66" s="21" t="inlineStr">
        <is>
          <t xml:space="preserve"> Sports </t>
        </is>
      </c>
      <c r="E66" s="21" t="n">
        <v>1</v>
      </c>
      <c r="F66" s="23" t="n">
        <v>1500</v>
      </c>
    </row>
    <row r="67">
      <c r="A67" s="21" t="inlineStr">
        <is>
          <t>EC2066</t>
        </is>
      </c>
      <c r="B67" s="22" t="n">
        <v>46204</v>
      </c>
      <c r="C67" s="21" t="inlineStr">
        <is>
          <t>East</t>
        </is>
      </c>
      <c r="D67" s="21" t="inlineStr">
        <is>
          <t>Home Decor</t>
        </is>
      </c>
      <c r="E67" s="21" t="n">
        <v>1</v>
      </c>
      <c r="F67" s="23" t="n">
        <v>6800</v>
      </c>
    </row>
    <row r="68">
      <c r="A68" s="21" t="inlineStr">
        <is>
          <t>EC2067</t>
        </is>
      </c>
      <c r="B68" s="22" t="n">
        <v>46206</v>
      </c>
      <c r="C68" s="21" t="inlineStr">
        <is>
          <t>west</t>
        </is>
      </c>
      <c r="D68" s="21" t="inlineStr">
        <is>
          <t xml:space="preserve"> Home Decor </t>
        </is>
      </c>
      <c r="E68" s="21" t="n">
        <v>1</v>
      </c>
      <c r="F68" s="23" t="n">
        <v>1700</v>
      </c>
    </row>
    <row r="69">
      <c r="A69" s="21" t="inlineStr">
        <is>
          <t>EC2068</t>
        </is>
      </c>
      <c r="B69" s="22" t="n">
        <v>46211</v>
      </c>
      <c r="C69" s="21" t="inlineStr">
        <is>
          <t>North</t>
        </is>
      </c>
      <c r="D69" s="21" t="inlineStr">
        <is>
          <t>Sports</t>
        </is>
      </c>
      <c r="E69" s="21" t="n">
        <v>2</v>
      </c>
      <c r="F69" s="23" t="n">
        <v>4000</v>
      </c>
    </row>
    <row r="70">
      <c r="A70" s="21" t="inlineStr">
        <is>
          <t>EC2069</t>
        </is>
      </c>
      <c r="B70" s="22" t="n">
        <v>46211</v>
      </c>
      <c r="C70" s="21" t="inlineStr">
        <is>
          <t>North</t>
        </is>
      </c>
      <c r="D70" s="21" t="inlineStr">
        <is>
          <t>Electronics</t>
        </is>
      </c>
      <c r="E70" s="21" t="n">
        <v>2</v>
      </c>
      <c r="F70" s="23" t="n">
        <v>60800</v>
      </c>
    </row>
    <row r="71">
      <c r="A71" s="21" t="inlineStr">
        <is>
          <t>EC2070</t>
        </is>
      </c>
      <c r="B71" s="22" t="n">
        <v>46211</v>
      </c>
      <c r="C71" s="21" t="inlineStr">
        <is>
          <t xml:space="preserve"> West </t>
        </is>
      </c>
      <c r="D71" s="21" t="inlineStr">
        <is>
          <t>Home Decor</t>
        </is>
      </c>
      <c r="E71" s="21" t="n">
        <v>2</v>
      </c>
      <c r="F71" s="23" t="n">
        <v>14200</v>
      </c>
    </row>
    <row r="72">
      <c r="A72" s="21" t="inlineStr">
        <is>
          <t>EC2071</t>
        </is>
      </c>
      <c r="B72" s="22" t="n">
        <v>46217</v>
      </c>
      <c r="C72" s="21" t="inlineStr">
        <is>
          <t xml:space="preserve"> Central </t>
        </is>
      </c>
      <c r="D72" s="21" t="inlineStr">
        <is>
          <t>Sports</t>
        </is>
      </c>
      <c r="E72" s="21" t="n">
        <v>1</v>
      </c>
      <c r="F72" s="23" t="n">
        <v>6200</v>
      </c>
    </row>
    <row r="73">
      <c r="A73" s="21" t="inlineStr">
        <is>
          <t>EC2072</t>
        </is>
      </c>
      <c r="B73" s="22" t="n">
        <v>46219</v>
      </c>
      <c r="C73" s="21" t="inlineStr">
        <is>
          <t>East</t>
        </is>
      </c>
      <c r="D73" s="21" t="inlineStr">
        <is>
          <t>Electronics</t>
        </is>
      </c>
      <c r="E73" s="21" t="n">
        <v>4</v>
      </c>
      <c r="F73" s="23" t="n">
        <v>142400</v>
      </c>
    </row>
    <row r="74">
      <c r="A74" s="21" t="inlineStr">
        <is>
          <t>EC2073</t>
        </is>
      </c>
      <c r="B74" s="22" t="n">
        <v>46220</v>
      </c>
      <c r="C74" s="21" t="inlineStr">
        <is>
          <t>East</t>
        </is>
      </c>
      <c r="D74" s="21" t="inlineStr">
        <is>
          <t xml:space="preserve"> Fashion </t>
        </is>
      </c>
      <c r="E74" s="21" t="n">
        <v>2</v>
      </c>
      <c r="F74" s="23" t="n">
        <v>4200</v>
      </c>
    </row>
    <row r="75">
      <c r="A75" s="21" t="inlineStr">
        <is>
          <t>EC2074</t>
        </is>
      </c>
      <c r="B75" s="22" t="n">
        <v>46230</v>
      </c>
      <c r="C75" s="21" t="inlineStr">
        <is>
          <t xml:space="preserve"> North </t>
        </is>
      </c>
      <c r="D75" s="21" t="inlineStr">
        <is>
          <t>BEAUTY</t>
        </is>
      </c>
      <c r="E75" s="21" t="n">
        <v>2</v>
      </c>
      <c r="F75" s="23" t="n">
        <v>1200</v>
      </c>
    </row>
    <row r="76">
      <c r="A76" s="21" t="inlineStr">
        <is>
          <t>EC2075</t>
        </is>
      </c>
      <c r="B76" s="22" t="n">
        <v>46232</v>
      </c>
      <c r="C76" s="21" t="inlineStr">
        <is>
          <t xml:space="preserve"> Central </t>
        </is>
      </c>
      <c r="D76" s="21" t="inlineStr">
        <is>
          <t>ELECTRONICS</t>
        </is>
      </c>
      <c r="E76" s="21" t="n">
        <v>2</v>
      </c>
      <c r="F76" s="23" t="n">
        <v>48200</v>
      </c>
    </row>
    <row r="77">
      <c r="A77" s="21" t="inlineStr">
        <is>
          <t>EC2076</t>
        </is>
      </c>
      <c r="B77" s="22" t="n">
        <v>46237</v>
      </c>
      <c r="C77" s="21" t="inlineStr">
        <is>
          <t>East</t>
        </is>
      </c>
      <c r="D77" s="21" t="inlineStr">
        <is>
          <t xml:space="preserve"> Sports </t>
        </is>
      </c>
      <c r="E77" s="21" t="n">
        <v>1</v>
      </c>
      <c r="F77" s="23" t="n">
        <v>3300</v>
      </c>
    </row>
    <row r="78">
      <c r="A78" s="21" t="inlineStr">
        <is>
          <t>EC2077</t>
        </is>
      </c>
      <c r="B78" s="22" t="n">
        <v>46238</v>
      </c>
      <c r="C78" s="21" t="inlineStr">
        <is>
          <t>CENTRAL</t>
        </is>
      </c>
      <c r="D78" s="21" t="inlineStr">
        <is>
          <t>Electronics</t>
        </is>
      </c>
      <c r="E78" s="21" t="n">
        <v>1</v>
      </c>
      <c r="F78" s="23" t="n">
        <v>15100</v>
      </c>
    </row>
    <row r="79">
      <c r="A79" s="21" t="inlineStr">
        <is>
          <t>EC2078</t>
        </is>
      </c>
      <c r="B79" s="22" t="n">
        <v>46246</v>
      </c>
      <c r="C79" s="21" t="inlineStr">
        <is>
          <t>West</t>
        </is>
      </c>
      <c r="D79" s="21" t="inlineStr">
        <is>
          <t>Electronics</t>
        </is>
      </c>
      <c r="E79" s="21" t="n">
        <v>4</v>
      </c>
      <c r="F79" s="23" t="n">
        <v>140400</v>
      </c>
    </row>
    <row r="80">
      <c r="A80" s="21" t="inlineStr">
        <is>
          <t>EC2079</t>
        </is>
      </c>
      <c r="B80" s="22" t="n">
        <v>46248</v>
      </c>
      <c r="C80" s="21" t="inlineStr">
        <is>
          <t>east</t>
        </is>
      </c>
      <c r="D80" s="21" t="inlineStr">
        <is>
          <t>Sports</t>
        </is>
      </c>
      <c r="E80" s="21" t="n">
        <v>2</v>
      </c>
      <c r="F80" s="23" t="n">
        <v>11000</v>
      </c>
    </row>
    <row r="81">
      <c r="A81" s="21" t="inlineStr">
        <is>
          <t>EC2080</t>
        </is>
      </c>
      <c r="B81" s="22" t="n">
        <v>46251</v>
      </c>
      <c r="C81" s="21" t="inlineStr">
        <is>
          <t>East</t>
        </is>
      </c>
      <c r="D81" s="21" t="inlineStr">
        <is>
          <t>Electronics</t>
        </is>
      </c>
      <c r="E81" s="21" t="n">
        <v>3</v>
      </c>
      <c r="F81" s="23" t="n">
        <v>39300</v>
      </c>
    </row>
    <row r="82">
      <c r="A82" s="21" t="inlineStr">
        <is>
          <t>EC2081</t>
        </is>
      </c>
      <c r="B82" s="22" t="n">
        <v>46254</v>
      </c>
      <c r="C82" s="21" t="inlineStr">
        <is>
          <t xml:space="preserve"> West </t>
        </is>
      </c>
      <c r="D82" s="21" t="inlineStr">
        <is>
          <t>Sports</t>
        </is>
      </c>
      <c r="E82" s="21" t="n">
        <v>4</v>
      </c>
      <c r="F82" s="23" t="n">
        <v>19600</v>
      </c>
    </row>
    <row r="83">
      <c r="A83" s="21" t="inlineStr">
        <is>
          <t>EC2082</t>
        </is>
      </c>
      <c r="B83" s="22" t="n">
        <v>46254</v>
      </c>
      <c r="C83" s="21" t="inlineStr">
        <is>
          <t>central</t>
        </is>
      </c>
      <c r="D83" s="21" t="inlineStr">
        <is>
          <t>SPORTS</t>
        </is>
      </c>
      <c r="E83" s="21" t="n">
        <v>2</v>
      </c>
      <c r="F83" s="23" t="n">
        <v>12600</v>
      </c>
    </row>
    <row r="84">
      <c r="A84" s="21" t="inlineStr">
        <is>
          <t>EC2083</t>
        </is>
      </c>
      <c r="B84" s="22" t="n">
        <v>46255</v>
      </c>
      <c r="C84" s="21" t="inlineStr">
        <is>
          <t xml:space="preserve"> East </t>
        </is>
      </c>
      <c r="D84" s="21" t="inlineStr">
        <is>
          <t>Fashion</t>
        </is>
      </c>
      <c r="E84" s="21" t="n">
        <v>4</v>
      </c>
      <c r="F84" s="23" t="n">
        <v>12800</v>
      </c>
    </row>
    <row r="85">
      <c r="A85" s="21" t="inlineStr">
        <is>
          <t>EC2084</t>
        </is>
      </c>
      <c r="B85" s="22" t="n">
        <v>46255</v>
      </c>
      <c r="C85" s="21" t="inlineStr">
        <is>
          <t>West</t>
        </is>
      </c>
      <c r="D85" s="21" t="inlineStr">
        <is>
          <t>FASHION</t>
        </is>
      </c>
      <c r="E85" s="21" t="n">
        <v>1</v>
      </c>
      <c r="F85" s="23" t="n">
        <v>2300</v>
      </c>
    </row>
    <row r="86">
      <c r="A86" s="21" t="inlineStr">
        <is>
          <t>EC2085</t>
        </is>
      </c>
      <c r="B86" s="22" t="n">
        <v>46257</v>
      </c>
      <c r="C86" s="21" t="inlineStr">
        <is>
          <t>East</t>
        </is>
      </c>
      <c r="D86" s="21" t="inlineStr">
        <is>
          <t>BEAUTY</t>
        </is>
      </c>
      <c r="E86" s="21" t="n">
        <v>4</v>
      </c>
      <c r="F86" s="23" t="n">
        <v>6400</v>
      </c>
    </row>
    <row r="87">
      <c r="A87" s="21" t="inlineStr">
        <is>
          <t>EC2086</t>
        </is>
      </c>
      <c r="B87" s="22" t="n">
        <v>46263</v>
      </c>
      <c r="C87" s="21" t="inlineStr">
        <is>
          <t>West</t>
        </is>
      </c>
      <c r="D87" s="21" t="inlineStr">
        <is>
          <t>FASHION</t>
        </is>
      </c>
      <c r="E87" s="21" t="n">
        <v>4</v>
      </c>
      <c r="F87" s="23" t="n">
        <v>11200</v>
      </c>
    </row>
    <row r="88">
      <c r="A88" s="21" t="inlineStr">
        <is>
          <t>EC2087</t>
        </is>
      </c>
      <c r="B88" s="22" t="n">
        <v>46264</v>
      </c>
      <c r="C88" s="21" t="inlineStr">
        <is>
          <t>East</t>
        </is>
      </c>
      <c r="D88" s="21" t="inlineStr">
        <is>
          <t>sports</t>
        </is>
      </c>
      <c r="E88" s="21" t="n">
        <v>1</v>
      </c>
      <c r="F88" s="23" t="n">
        <v>2700</v>
      </c>
    </row>
    <row r="89">
      <c r="A89" s="21" t="inlineStr">
        <is>
          <t>EC2088</t>
        </is>
      </c>
      <c r="B89" s="22" t="n">
        <v>46265</v>
      </c>
      <c r="C89" s="21" t="inlineStr">
        <is>
          <t>south</t>
        </is>
      </c>
      <c r="D89" s="21" t="inlineStr">
        <is>
          <t>Beauty</t>
        </is>
      </c>
      <c r="E89" s="21" t="n">
        <v>2</v>
      </c>
      <c r="F89" s="23" t="n">
        <v>3800</v>
      </c>
    </row>
    <row r="90">
      <c r="A90" s="21" t="inlineStr">
        <is>
          <t>EC2089</t>
        </is>
      </c>
      <c r="B90" s="22" t="n">
        <v>46266</v>
      </c>
      <c r="C90" s="21" t="inlineStr">
        <is>
          <t>East</t>
        </is>
      </c>
      <c r="D90" s="21" t="inlineStr">
        <is>
          <t>sports</t>
        </is>
      </c>
      <c r="E90" s="21" t="n">
        <v>3</v>
      </c>
      <c r="F90" s="23" t="n">
        <v>6300</v>
      </c>
    </row>
    <row r="91">
      <c r="A91" s="21" t="inlineStr">
        <is>
          <t>EC2090</t>
        </is>
      </c>
      <c r="B91" s="22" t="n">
        <v>46275</v>
      </c>
      <c r="C91" s="21" t="inlineStr">
        <is>
          <t>Central</t>
        </is>
      </c>
      <c r="D91" s="21" t="inlineStr">
        <is>
          <t>HOME DECOR</t>
        </is>
      </c>
      <c r="E91" s="21" t="n">
        <v>4</v>
      </c>
      <c r="F91" s="23" t="n">
        <v>16400</v>
      </c>
    </row>
    <row r="92">
      <c r="A92" s="21" t="inlineStr">
        <is>
          <t>EC2091</t>
        </is>
      </c>
      <c r="B92" s="22" t="n">
        <v>46277</v>
      </c>
      <c r="C92" s="21" t="inlineStr">
        <is>
          <t>Central</t>
        </is>
      </c>
      <c r="D92" s="21" t="inlineStr">
        <is>
          <t>sports</t>
        </is>
      </c>
      <c r="E92" s="21" t="n">
        <v>4</v>
      </c>
      <c r="F92" s="23" t="n">
        <v>13200</v>
      </c>
    </row>
    <row r="93">
      <c r="A93" s="21" t="inlineStr">
        <is>
          <t>EC2092</t>
        </is>
      </c>
      <c r="B93" s="22" t="n">
        <v>46278</v>
      </c>
      <c r="C93" s="21" t="inlineStr">
        <is>
          <t xml:space="preserve"> South </t>
        </is>
      </c>
      <c r="D93" s="21" t="inlineStr">
        <is>
          <t>sports</t>
        </is>
      </c>
      <c r="E93" s="21" t="n">
        <v>1</v>
      </c>
      <c r="F93" s="23" t="n">
        <v>6300</v>
      </c>
    </row>
    <row r="94">
      <c r="A94" s="21" t="inlineStr">
        <is>
          <t>EC2093</t>
        </is>
      </c>
      <c r="B94" s="22" t="n">
        <v>46278</v>
      </c>
      <c r="C94" s="21" t="inlineStr">
        <is>
          <t>North</t>
        </is>
      </c>
      <c r="D94" s="21" t="inlineStr">
        <is>
          <t xml:space="preserve"> Fashion </t>
        </is>
      </c>
      <c r="E94" s="21" t="n">
        <v>3</v>
      </c>
      <c r="F94" s="23" t="n">
        <v>7500</v>
      </c>
    </row>
    <row r="95">
      <c r="A95" s="21" t="inlineStr">
        <is>
          <t>EC2094</t>
        </is>
      </c>
      <c r="B95" s="22" t="n">
        <v>46280</v>
      </c>
      <c r="C95" s="21" t="inlineStr">
        <is>
          <t>east</t>
        </is>
      </c>
      <c r="D95" s="21" t="inlineStr">
        <is>
          <t xml:space="preserve"> Home Decor </t>
        </is>
      </c>
      <c r="E95" s="21" t="n">
        <v>4</v>
      </c>
      <c r="F95" s="23" t="n">
        <v>16800</v>
      </c>
    </row>
    <row r="96">
      <c r="A96" s="21" t="inlineStr">
        <is>
          <t>EC2095</t>
        </is>
      </c>
      <c r="B96" s="22" t="n">
        <v>46285</v>
      </c>
      <c r="C96" s="21" t="inlineStr">
        <is>
          <t>south</t>
        </is>
      </c>
      <c r="D96" s="21" t="inlineStr">
        <is>
          <t xml:space="preserve"> Home Decor </t>
        </is>
      </c>
      <c r="E96" s="21" t="n">
        <v>2</v>
      </c>
      <c r="F96" s="23" t="n">
        <v>15200</v>
      </c>
    </row>
    <row r="97">
      <c r="A97" s="21" t="inlineStr">
        <is>
          <t>EC2096</t>
        </is>
      </c>
      <c r="B97" s="22" t="n">
        <v>46293</v>
      </c>
      <c r="C97" s="21" t="inlineStr">
        <is>
          <t>East</t>
        </is>
      </c>
      <c r="D97" s="21" t="inlineStr">
        <is>
          <t>Electronics</t>
        </is>
      </c>
      <c r="E97" s="21" t="n">
        <v>1</v>
      </c>
      <c r="F97" s="23" t="n">
        <v>10300</v>
      </c>
    </row>
    <row r="98">
      <c r="A98" s="21" t="inlineStr">
        <is>
          <t>EC2090</t>
        </is>
      </c>
      <c r="B98" s="22" t="n">
        <v>46275</v>
      </c>
      <c r="C98" s="21" t="inlineStr">
        <is>
          <t>Central</t>
        </is>
      </c>
      <c r="D98" s="21" t="inlineStr">
        <is>
          <t>HOME DECOR</t>
        </is>
      </c>
      <c r="E98" s="21" t="n">
        <v>4</v>
      </c>
      <c r="F98" s="23" t="n">
        <v>16400</v>
      </c>
    </row>
    <row r="99">
      <c r="A99" s="21" t="inlineStr">
        <is>
          <t>EC2055</t>
        </is>
      </c>
      <c r="B99" s="22" t="n">
        <v>46162</v>
      </c>
      <c r="C99" s="21" t="inlineStr">
        <is>
          <t xml:space="preserve"> East </t>
        </is>
      </c>
      <c r="D99" s="21" t="inlineStr">
        <is>
          <t>home decor</t>
        </is>
      </c>
      <c r="E99" s="21" t="n">
        <v>2</v>
      </c>
      <c r="F99" s="23" t="n">
        <v>9400</v>
      </c>
    </row>
    <row r="100">
      <c r="A100" s="21" t="inlineStr">
        <is>
          <t>EC2048</t>
        </is>
      </c>
      <c r="B100" s="22" t="n">
        <v>46147</v>
      </c>
      <c r="C100" s="21" t="inlineStr">
        <is>
          <t>west</t>
        </is>
      </c>
      <c r="D100" s="21" t="inlineStr">
        <is>
          <t>ELECTRONICS</t>
        </is>
      </c>
      <c r="E100" s="21" t="n">
        <v>3</v>
      </c>
      <c r="F100" s="23" t="n">
        <v>97200</v>
      </c>
    </row>
    <row r="101">
      <c r="A101" s="21" t="inlineStr">
        <is>
          <t>EC2070</t>
        </is>
      </c>
      <c r="B101" s="22" t="n">
        <v>46211</v>
      </c>
      <c r="C101" s="21" t="inlineStr">
        <is>
          <t xml:space="preserve"> West </t>
        </is>
      </c>
      <c r="D101" s="21" t="inlineStr">
        <is>
          <t>Home Decor</t>
        </is>
      </c>
      <c r="E101" s="21" t="n">
        <v>2</v>
      </c>
      <c r="F101" s="23" t="n">
        <v>14200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0" customWidth="1" min="5" max="5"/>
    <col width="14" customWidth="1" min="6" max="6"/>
    <col width="9" customWidth="1" min="7" max="7"/>
    <col width="12" customWidth="1" min="8" max="8"/>
    <col width="26" customWidth="1" min="10" max="10"/>
    <col width="14" customWidth="1" min="11" max="11"/>
  </cols>
  <sheetData>
    <row r="1">
      <c r="A1" t="inlineStr">
        <is>
          <t>Order 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Quantity</t>
        </is>
      </c>
      <c r="F1" t="inlineStr">
        <is>
          <t>Revenue</t>
        </is>
      </c>
      <c r="G1" t="inlineStr">
        <is>
          <t>Month</t>
        </is>
      </c>
      <c r="H1" t="inlineStr">
        <is>
          <t>Status</t>
        </is>
      </c>
      <c r="J1" s="24" t="inlineStr">
        <is>
          <t>Data Cleaning Summary</t>
        </is>
      </c>
      <c r="K1" s="3" t="n"/>
    </row>
    <row r="2">
      <c r="A2" s="21">
        <f>TRIM(Raw_Data!A2)</f>
        <v/>
      </c>
      <c r="B2" s="22">
        <f>IF(Raw_Data!B2="","",Raw_Data!B2)</f>
        <v/>
      </c>
      <c r="C2" s="21">
        <f>PROPER(TRIM(Raw_Data!C2))</f>
        <v/>
      </c>
      <c r="D2" s="21">
        <f>PROPER(TRIM(Raw_Data!D2))</f>
        <v/>
      </c>
      <c r="E2" s="21">
        <f>IF(Raw_Data!E2="","",Raw_Data!E2)</f>
        <v/>
      </c>
      <c r="F2" s="25">
        <f>IF(Raw_Data!F2="",0,Raw_Data!F2)</f>
        <v/>
      </c>
      <c r="G2" s="21">
        <f>IF(B2="","",CHOOSE(MONTH(B2),"Jan","Feb","Mar","Apr","May","Jun","Jul","Aug","Sep","Oct","Nov","Dec"))</f>
        <v/>
      </c>
      <c r="H2" s="21">
        <f>IF(OR(B2="",E2="",Raw_Data!F2=""),"Missing",IF(COUNTIF($A$2:A2,A2)&gt;1,"Duplicate","Valid"))</f>
        <v/>
      </c>
      <c r="J2" s="26" t="inlineStr">
        <is>
          <t>Total raw rows</t>
        </is>
      </c>
      <c r="K2" s="27">
        <f>COUNTA(A2:A101)</f>
        <v/>
      </c>
    </row>
    <row r="3">
      <c r="A3" s="21">
        <f>TRIM(Raw_Data!A3)</f>
        <v/>
      </c>
      <c r="B3" s="22">
        <f>IF(Raw_Data!B3="","",Raw_Data!B3)</f>
        <v/>
      </c>
      <c r="C3" s="21">
        <f>PROPER(TRIM(Raw_Data!C3))</f>
        <v/>
      </c>
      <c r="D3" s="21">
        <f>PROPER(TRIM(Raw_Data!D3))</f>
        <v/>
      </c>
      <c r="E3" s="21">
        <f>IF(Raw_Data!E3="","",Raw_Data!E3)</f>
        <v/>
      </c>
      <c r="F3" s="25">
        <f>IF(Raw_Data!F3="",0,Raw_Data!F3)</f>
        <v/>
      </c>
      <c r="G3" s="21">
        <f>IF(B3="","",CHOOSE(MONTH(B3),"Jan","Feb","Mar","Apr","May","Jun","Jul","Aug","Sep","Oct","Nov","Dec"))</f>
        <v/>
      </c>
      <c r="H3" s="21">
        <f>IF(OR(B3="",E3="",Raw_Data!F3=""),"Missing",IF(COUNTIF($A$2:A3,A3)&gt;1,"Duplicate","Valid"))</f>
        <v/>
      </c>
      <c r="J3" s="26" t="inlineStr">
        <is>
          <t>Valid rows</t>
        </is>
      </c>
      <c r="K3" s="27">
        <f>COUNTIF(H2:H101,"Valid")</f>
        <v/>
      </c>
    </row>
    <row r="4">
      <c r="A4" s="21">
        <f>TRIM(Raw_Data!A4)</f>
        <v/>
      </c>
      <c r="B4" s="22">
        <f>IF(Raw_Data!B4="","",Raw_Data!B4)</f>
        <v/>
      </c>
      <c r="C4" s="21">
        <f>PROPER(TRIM(Raw_Data!C4))</f>
        <v/>
      </c>
      <c r="D4" s="21">
        <f>PROPER(TRIM(Raw_Data!D4))</f>
        <v/>
      </c>
      <c r="E4" s="21">
        <f>IF(Raw_Data!E4="","",Raw_Data!E4)</f>
        <v/>
      </c>
      <c r="F4" s="25">
        <f>IF(Raw_Data!F4="",0,Raw_Data!F4)</f>
        <v/>
      </c>
      <c r="G4" s="21">
        <f>IF(B4="","",CHOOSE(MONTH(B4),"Jan","Feb","Mar","Apr","May","Jun","Jul","Aug","Sep","Oct","Nov","Dec"))</f>
        <v/>
      </c>
      <c r="H4" s="21">
        <f>IF(OR(B4="",E4="",Raw_Data!F4=""),"Missing",IF(COUNTIF($A$2:A4,A4)&gt;1,"Duplicate","Valid"))</f>
        <v/>
      </c>
      <c r="J4" s="26" t="inlineStr">
        <is>
          <t>Duplicate rows</t>
        </is>
      </c>
      <c r="K4" s="27">
        <f>COUNTIF(H2:H101,"Duplicate")</f>
        <v/>
      </c>
    </row>
    <row r="5">
      <c r="A5" s="21">
        <f>TRIM(Raw_Data!A5)</f>
        <v/>
      </c>
      <c r="B5" s="22">
        <f>IF(Raw_Data!B5="","",Raw_Data!B5)</f>
        <v/>
      </c>
      <c r="C5" s="21">
        <f>PROPER(TRIM(Raw_Data!C5))</f>
        <v/>
      </c>
      <c r="D5" s="21">
        <f>PROPER(TRIM(Raw_Data!D5))</f>
        <v/>
      </c>
      <c r="E5" s="21">
        <f>IF(Raw_Data!E5="","",Raw_Data!E5)</f>
        <v/>
      </c>
      <c r="F5" s="25">
        <f>IF(Raw_Data!F5="",0,Raw_Data!F5)</f>
        <v/>
      </c>
      <c r="G5" s="21">
        <f>IF(B5="","",CHOOSE(MONTH(B5),"Jan","Feb","Mar","Apr","May","Jun","Jul","Aug","Sep","Oct","Nov","Dec"))</f>
        <v/>
      </c>
      <c r="H5" s="21">
        <f>IF(OR(B5="",E5="",Raw_Data!F5=""),"Missing",IF(COUNTIF($A$2:A5,A5)&gt;1,"Duplicate","Valid"))</f>
        <v/>
      </c>
      <c r="J5" s="26" t="inlineStr">
        <is>
          <t>Rows with missing data</t>
        </is>
      </c>
      <c r="K5" s="27">
        <f>COUNTIF(H2:H101,"Missing")</f>
        <v/>
      </c>
    </row>
    <row r="6">
      <c r="A6" s="21">
        <f>TRIM(Raw_Data!A6)</f>
        <v/>
      </c>
      <c r="B6" s="22">
        <f>IF(Raw_Data!B6="","",Raw_Data!B6)</f>
        <v/>
      </c>
      <c r="C6" s="21">
        <f>PROPER(TRIM(Raw_Data!C6))</f>
        <v/>
      </c>
      <c r="D6" s="21">
        <f>PROPER(TRIM(Raw_Data!D6))</f>
        <v/>
      </c>
      <c r="E6" s="21">
        <f>IF(Raw_Data!E6="","",Raw_Data!E6)</f>
        <v/>
      </c>
      <c r="F6" s="25">
        <f>IF(Raw_Data!F6="",0,Raw_Data!F6)</f>
        <v/>
      </c>
      <c r="G6" s="21">
        <f>IF(B6="","",CHOOSE(MONTH(B6),"Jan","Feb","Mar","Apr","May","Jun","Jul","Aug","Sep","Oct","Nov","Dec"))</f>
        <v/>
      </c>
      <c r="H6" s="21">
        <f>IF(OR(B6="",E6="",Raw_Data!F6=""),"Missing",IF(COUNTIF($A$2:A6,A6)&gt;1,"Duplicate","Valid"))</f>
        <v/>
      </c>
    </row>
    <row r="7">
      <c r="A7" s="21">
        <f>TRIM(Raw_Data!A7)</f>
        <v/>
      </c>
      <c r="B7" s="22">
        <f>IF(Raw_Data!B7="","",Raw_Data!B7)</f>
        <v/>
      </c>
      <c r="C7" s="21">
        <f>PROPER(TRIM(Raw_Data!C7))</f>
        <v/>
      </c>
      <c r="D7" s="21">
        <f>PROPER(TRIM(Raw_Data!D7))</f>
        <v/>
      </c>
      <c r="E7" s="21">
        <f>IF(Raw_Data!E7="","",Raw_Data!E7)</f>
        <v/>
      </c>
      <c r="F7" s="25">
        <f>IF(Raw_Data!F7="",0,Raw_Data!F7)</f>
        <v/>
      </c>
      <c r="G7" s="21">
        <f>IF(B7="","",CHOOSE(MONTH(B7),"Jan","Feb","Mar","Apr","May","Jun","Jul","Aug","Sep","Oct","Nov","Dec"))</f>
        <v/>
      </c>
      <c r="H7" s="21">
        <f>IF(OR(B7="",E7="",Raw_Data!F7=""),"Missing",IF(COUNTIF($A$2:A7,A7)&gt;1,"Duplicate","Valid"))</f>
        <v/>
      </c>
      <c r="J7" s="28" t="inlineStr">
        <is>
          <t>Steps: TRIM (extra space काढणे), PROPER (एकसारखे अक्षर), COUNTIF (duplicate शोधणे), IF (missing शोधणे). Dashboard फक्त 'Valid' rows वापरतो.</t>
        </is>
      </c>
    </row>
    <row r="8">
      <c r="A8" s="21">
        <f>TRIM(Raw_Data!A8)</f>
        <v/>
      </c>
      <c r="B8" s="22">
        <f>IF(Raw_Data!B8="","",Raw_Data!B8)</f>
        <v/>
      </c>
      <c r="C8" s="21">
        <f>PROPER(TRIM(Raw_Data!C8))</f>
        <v/>
      </c>
      <c r="D8" s="21">
        <f>PROPER(TRIM(Raw_Data!D8))</f>
        <v/>
      </c>
      <c r="E8" s="21">
        <f>IF(Raw_Data!E8="","",Raw_Data!E8)</f>
        <v/>
      </c>
      <c r="F8" s="25">
        <f>IF(Raw_Data!F8="",0,Raw_Data!F8)</f>
        <v/>
      </c>
      <c r="G8" s="21">
        <f>IF(B8="","",CHOOSE(MONTH(B8),"Jan","Feb","Mar","Apr","May","Jun","Jul","Aug","Sep","Oct","Nov","Dec"))</f>
        <v/>
      </c>
      <c r="H8" s="21">
        <f>IF(OR(B8="",E8="",Raw_Data!F8=""),"Missing",IF(COUNTIF($A$2:A8,A8)&gt;1,"Duplicate","Valid"))</f>
        <v/>
      </c>
    </row>
    <row r="9">
      <c r="A9" s="21">
        <f>TRIM(Raw_Data!A9)</f>
        <v/>
      </c>
      <c r="B9" s="22">
        <f>IF(Raw_Data!B9="","",Raw_Data!B9)</f>
        <v/>
      </c>
      <c r="C9" s="21">
        <f>PROPER(TRIM(Raw_Data!C9))</f>
        <v/>
      </c>
      <c r="D9" s="21">
        <f>PROPER(TRIM(Raw_Data!D9))</f>
        <v/>
      </c>
      <c r="E9" s="21">
        <f>IF(Raw_Data!E9="","",Raw_Data!E9)</f>
        <v/>
      </c>
      <c r="F9" s="25">
        <f>IF(Raw_Data!F9="",0,Raw_Data!F9)</f>
        <v/>
      </c>
      <c r="G9" s="21">
        <f>IF(B9="","",CHOOSE(MONTH(B9),"Jan","Feb","Mar","Apr","May","Jun","Jul","Aug","Sep","Oct","Nov","Dec"))</f>
        <v/>
      </c>
      <c r="H9" s="21">
        <f>IF(OR(B9="",E9="",Raw_Data!F9=""),"Missing",IF(COUNTIF($A$2:A9,A9)&gt;1,"Duplicate","Valid"))</f>
        <v/>
      </c>
    </row>
    <row r="10">
      <c r="A10" s="21">
        <f>TRIM(Raw_Data!A10)</f>
        <v/>
      </c>
      <c r="B10" s="22">
        <f>IF(Raw_Data!B10="","",Raw_Data!B10)</f>
        <v/>
      </c>
      <c r="C10" s="21">
        <f>PROPER(TRIM(Raw_Data!C10))</f>
        <v/>
      </c>
      <c r="D10" s="21">
        <f>PROPER(TRIM(Raw_Data!D10))</f>
        <v/>
      </c>
      <c r="E10" s="21">
        <f>IF(Raw_Data!E10="","",Raw_Data!E10)</f>
        <v/>
      </c>
      <c r="F10" s="25">
        <f>IF(Raw_Data!F10="",0,Raw_Data!F10)</f>
        <v/>
      </c>
      <c r="G10" s="21">
        <f>IF(B10="","",CHOOSE(MONTH(B10),"Jan","Feb","Mar","Apr","May","Jun","Jul","Aug","Sep","Oct","Nov","Dec"))</f>
        <v/>
      </c>
      <c r="H10" s="21">
        <f>IF(OR(B10="",E10="",Raw_Data!F10=""),"Missing",IF(COUNTIF($A$2:A10,A10)&gt;1,"Duplicate","Valid"))</f>
        <v/>
      </c>
    </row>
    <row r="11">
      <c r="A11" s="21">
        <f>TRIM(Raw_Data!A11)</f>
        <v/>
      </c>
      <c r="B11" s="22">
        <f>IF(Raw_Data!B11="","",Raw_Data!B11)</f>
        <v/>
      </c>
      <c r="C11" s="21">
        <f>PROPER(TRIM(Raw_Data!C11))</f>
        <v/>
      </c>
      <c r="D11" s="21">
        <f>PROPER(TRIM(Raw_Data!D11))</f>
        <v/>
      </c>
      <c r="E11" s="21">
        <f>IF(Raw_Data!E11="","",Raw_Data!E11)</f>
        <v/>
      </c>
      <c r="F11" s="25">
        <f>IF(Raw_Data!F11="",0,Raw_Data!F11)</f>
        <v/>
      </c>
      <c r="G11" s="21">
        <f>IF(B11="","",CHOOSE(MONTH(B11),"Jan","Feb","Mar","Apr","May","Jun","Jul","Aug","Sep","Oct","Nov","Dec"))</f>
        <v/>
      </c>
      <c r="H11" s="21">
        <f>IF(OR(B11="",E11="",Raw_Data!F11=""),"Missing",IF(COUNTIF($A$2:A11,A11)&gt;1,"Duplicate","Valid"))</f>
        <v/>
      </c>
    </row>
    <row r="12">
      <c r="A12" s="21">
        <f>TRIM(Raw_Data!A12)</f>
        <v/>
      </c>
      <c r="B12" s="22">
        <f>IF(Raw_Data!B12="","",Raw_Data!B12)</f>
        <v/>
      </c>
      <c r="C12" s="21">
        <f>PROPER(TRIM(Raw_Data!C12))</f>
        <v/>
      </c>
      <c r="D12" s="21">
        <f>PROPER(TRIM(Raw_Data!D12))</f>
        <v/>
      </c>
      <c r="E12" s="21">
        <f>IF(Raw_Data!E12="","",Raw_Data!E12)</f>
        <v/>
      </c>
      <c r="F12" s="25">
        <f>IF(Raw_Data!F12="",0,Raw_Data!F12)</f>
        <v/>
      </c>
      <c r="G12" s="21">
        <f>IF(B12="","",CHOOSE(MONTH(B12),"Jan","Feb","Mar","Apr","May","Jun","Jul","Aug","Sep","Oct","Nov","Dec"))</f>
        <v/>
      </c>
      <c r="H12" s="21">
        <f>IF(OR(B12="",E12="",Raw_Data!F12=""),"Missing",IF(COUNTIF($A$2:A12,A12)&gt;1,"Duplicate","Valid"))</f>
        <v/>
      </c>
    </row>
    <row r="13">
      <c r="A13" s="21">
        <f>TRIM(Raw_Data!A13)</f>
        <v/>
      </c>
      <c r="B13" s="22">
        <f>IF(Raw_Data!B13="","",Raw_Data!B13)</f>
        <v/>
      </c>
      <c r="C13" s="21">
        <f>PROPER(TRIM(Raw_Data!C13))</f>
        <v/>
      </c>
      <c r="D13" s="21">
        <f>PROPER(TRIM(Raw_Data!D13))</f>
        <v/>
      </c>
      <c r="E13" s="21">
        <f>IF(Raw_Data!E13="","",Raw_Data!E13)</f>
        <v/>
      </c>
      <c r="F13" s="25">
        <f>IF(Raw_Data!F13="",0,Raw_Data!F13)</f>
        <v/>
      </c>
      <c r="G13" s="21">
        <f>IF(B13="","",CHOOSE(MONTH(B13),"Jan","Feb","Mar","Apr","May","Jun","Jul","Aug","Sep","Oct","Nov","Dec"))</f>
        <v/>
      </c>
      <c r="H13" s="21">
        <f>IF(OR(B13="",E13="",Raw_Data!F13=""),"Missing",IF(COUNTIF($A$2:A13,A13)&gt;1,"Duplicate","Valid"))</f>
        <v/>
      </c>
    </row>
    <row r="14">
      <c r="A14" s="21">
        <f>TRIM(Raw_Data!A14)</f>
        <v/>
      </c>
      <c r="B14" s="22">
        <f>IF(Raw_Data!B14="","",Raw_Data!B14)</f>
        <v/>
      </c>
      <c r="C14" s="21">
        <f>PROPER(TRIM(Raw_Data!C14))</f>
        <v/>
      </c>
      <c r="D14" s="21">
        <f>PROPER(TRIM(Raw_Data!D14))</f>
        <v/>
      </c>
      <c r="E14" s="21">
        <f>IF(Raw_Data!E14="","",Raw_Data!E14)</f>
        <v/>
      </c>
      <c r="F14" s="25">
        <f>IF(Raw_Data!F14="",0,Raw_Data!F14)</f>
        <v/>
      </c>
      <c r="G14" s="21">
        <f>IF(B14="","",CHOOSE(MONTH(B14),"Jan","Feb","Mar","Apr","May","Jun","Jul","Aug","Sep","Oct","Nov","Dec"))</f>
        <v/>
      </c>
      <c r="H14" s="21">
        <f>IF(OR(B14="",E14="",Raw_Data!F14=""),"Missing",IF(COUNTIF($A$2:A14,A14)&gt;1,"Duplicate","Valid"))</f>
        <v/>
      </c>
    </row>
    <row r="15">
      <c r="A15" s="21">
        <f>TRIM(Raw_Data!A15)</f>
        <v/>
      </c>
      <c r="B15" s="22">
        <f>IF(Raw_Data!B15="","",Raw_Data!B15)</f>
        <v/>
      </c>
      <c r="C15" s="21">
        <f>PROPER(TRIM(Raw_Data!C15))</f>
        <v/>
      </c>
      <c r="D15" s="21">
        <f>PROPER(TRIM(Raw_Data!D15))</f>
        <v/>
      </c>
      <c r="E15" s="21">
        <f>IF(Raw_Data!E15="","",Raw_Data!E15)</f>
        <v/>
      </c>
      <c r="F15" s="25">
        <f>IF(Raw_Data!F15="",0,Raw_Data!F15)</f>
        <v/>
      </c>
      <c r="G15" s="21">
        <f>IF(B15="","",CHOOSE(MONTH(B15),"Jan","Feb","Mar","Apr","May","Jun","Jul","Aug","Sep","Oct","Nov","Dec"))</f>
        <v/>
      </c>
      <c r="H15" s="21">
        <f>IF(OR(B15="",E15="",Raw_Data!F15=""),"Missing",IF(COUNTIF($A$2:A15,A15)&gt;1,"Duplicate","Valid"))</f>
        <v/>
      </c>
    </row>
    <row r="16">
      <c r="A16" s="21">
        <f>TRIM(Raw_Data!A16)</f>
        <v/>
      </c>
      <c r="B16" s="22">
        <f>IF(Raw_Data!B16="","",Raw_Data!B16)</f>
        <v/>
      </c>
      <c r="C16" s="21">
        <f>PROPER(TRIM(Raw_Data!C16))</f>
        <v/>
      </c>
      <c r="D16" s="21">
        <f>PROPER(TRIM(Raw_Data!D16))</f>
        <v/>
      </c>
      <c r="E16" s="21">
        <f>IF(Raw_Data!E16="","",Raw_Data!E16)</f>
        <v/>
      </c>
      <c r="F16" s="25">
        <f>IF(Raw_Data!F16="",0,Raw_Data!F16)</f>
        <v/>
      </c>
      <c r="G16" s="21">
        <f>IF(B16="","",CHOOSE(MONTH(B16),"Jan","Feb","Mar","Apr","May","Jun","Jul","Aug","Sep","Oct","Nov","Dec"))</f>
        <v/>
      </c>
      <c r="H16" s="21">
        <f>IF(OR(B16="",E16="",Raw_Data!F16=""),"Missing",IF(COUNTIF($A$2:A16,A16)&gt;1,"Duplicate","Valid"))</f>
        <v/>
      </c>
    </row>
    <row r="17">
      <c r="A17" s="21">
        <f>TRIM(Raw_Data!A17)</f>
        <v/>
      </c>
      <c r="B17" s="22">
        <f>IF(Raw_Data!B17="","",Raw_Data!B17)</f>
        <v/>
      </c>
      <c r="C17" s="21">
        <f>PROPER(TRIM(Raw_Data!C17))</f>
        <v/>
      </c>
      <c r="D17" s="21">
        <f>PROPER(TRIM(Raw_Data!D17))</f>
        <v/>
      </c>
      <c r="E17" s="21">
        <f>IF(Raw_Data!E17="","",Raw_Data!E17)</f>
        <v/>
      </c>
      <c r="F17" s="25">
        <f>IF(Raw_Data!F17="",0,Raw_Data!F17)</f>
        <v/>
      </c>
      <c r="G17" s="21">
        <f>IF(B17="","",CHOOSE(MONTH(B17),"Jan","Feb","Mar","Apr","May","Jun","Jul","Aug","Sep","Oct","Nov","Dec"))</f>
        <v/>
      </c>
      <c r="H17" s="21">
        <f>IF(OR(B17="",E17="",Raw_Data!F17=""),"Missing",IF(COUNTIF($A$2:A17,A17)&gt;1,"Duplicate","Valid"))</f>
        <v/>
      </c>
    </row>
    <row r="18">
      <c r="A18" s="21">
        <f>TRIM(Raw_Data!A18)</f>
        <v/>
      </c>
      <c r="B18" s="22">
        <f>IF(Raw_Data!B18="","",Raw_Data!B18)</f>
        <v/>
      </c>
      <c r="C18" s="21">
        <f>PROPER(TRIM(Raw_Data!C18))</f>
        <v/>
      </c>
      <c r="D18" s="21">
        <f>PROPER(TRIM(Raw_Data!D18))</f>
        <v/>
      </c>
      <c r="E18" s="21">
        <f>IF(Raw_Data!E18="","",Raw_Data!E18)</f>
        <v/>
      </c>
      <c r="F18" s="25">
        <f>IF(Raw_Data!F18="",0,Raw_Data!F18)</f>
        <v/>
      </c>
      <c r="G18" s="21">
        <f>IF(B18="","",CHOOSE(MONTH(B18),"Jan","Feb","Mar","Apr","May","Jun","Jul","Aug","Sep","Oct","Nov","Dec"))</f>
        <v/>
      </c>
      <c r="H18" s="21">
        <f>IF(OR(B18="",E18="",Raw_Data!F18=""),"Missing",IF(COUNTIF($A$2:A18,A18)&gt;1,"Duplicate","Valid"))</f>
        <v/>
      </c>
    </row>
    <row r="19">
      <c r="A19" s="21">
        <f>TRIM(Raw_Data!A19)</f>
        <v/>
      </c>
      <c r="B19" s="22">
        <f>IF(Raw_Data!B19="","",Raw_Data!B19)</f>
        <v/>
      </c>
      <c r="C19" s="21">
        <f>PROPER(TRIM(Raw_Data!C19))</f>
        <v/>
      </c>
      <c r="D19" s="21">
        <f>PROPER(TRIM(Raw_Data!D19))</f>
        <v/>
      </c>
      <c r="E19" s="21">
        <f>IF(Raw_Data!E19="","",Raw_Data!E19)</f>
        <v/>
      </c>
      <c r="F19" s="25">
        <f>IF(Raw_Data!F19="",0,Raw_Data!F19)</f>
        <v/>
      </c>
      <c r="G19" s="21">
        <f>IF(B19="","",CHOOSE(MONTH(B19),"Jan","Feb","Mar","Apr","May","Jun","Jul","Aug","Sep","Oct","Nov","Dec"))</f>
        <v/>
      </c>
      <c r="H19" s="21">
        <f>IF(OR(B19="",E19="",Raw_Data!F19=""),"Missing",IF(COUNTIF($A$2:A19,A19)&gt;1,"Duplicate","Valid"))</f>
        <v/>
      </c>
    </row>
    <row r="20">
      <c r="A20" s="21">
        <f>TRIM(Raw_Data!A20)</f>
        <v/>
      </c>
      <c r="B20" s="22">
        <f>IF(Raw_Data!B20="","",Raw_Data!B20)</f>
        <v/>
      </c>
      <c r="C20" s="21">
        <f>PROPER(TRIM(Raw_Data!C20))</f>
        <v/>
      </c>
      <c r="D20" s="21">
        <f>PROPER(TRIM(Raw_Data!D20))</f>
        <v/>
      </c>
      <c r="E20" s="21">
        <f>IF(Raw_Data!E20="","",Raw_Data!E20)</f>
        <v/>
      </c>
      <c r="F20" s="25">
        <f>IF(Raw_Data!F20="",0,Raw_Data!F20)</f>
        <v/>
      </c>
      <c r="G20" s="21">
        <f>IF(B20="","",CHOOSE(MONTH(B20),"Jan","Feb","Mar","Apr","May","Jun","Jul","Aug","Sep","Oct","Nov","Dec"))</f>
        <v/>
      </c>
      <c r="H20" s="21">
        <f>IF(OR(B20="",E20="",Raw_Data!F20=""),"Missing",IF(COUNTIF($A$2:A20,A20)&gt;1,"Duplicate","Valid"))</f>
        <v/>
      </c>
    </row>
    <row r="21">
      <c r="A21" s="21">
        <f>TRIM(Raw_Data!A21)</f>
        <v/>
      </c>
      <c r="B21" s="22">
        <f>IF(Raw_Data!B21="","",Raw_Data!B21)</f>
        <v/>
      </c>
      <c r="C21" s="21">
        <f>PROPER(TRIM(Raw_Data!C21))</f>
        <v/>
      </c>
      <c r="D21" s="21">
        <f>PROPER(TRIM(Raw_Data!D21))</f>
        <v/>
      </c>
      <c r="E21" s="21">
        <f>IF(Raw_Data!E21="","",Raw_Data!E21)</f>
        <v/>
      </c>
      <c r="F21" s="25">
        <f>IF(Raw_Data!F21="",0,Raw_Data!F21)</f>
        <v/>
      </c>
      <c r="G21" s="21">
        <f>IF(B21="","",CHOOSE(MONTH(B21),"Jan","Feb","Mar","Apr","May","Jun","Jul","Aug","Sep","Oct","Nov","Dec"))</f>
        <v/>
      </c>
      <c r="H21" s="21">
        <f>IF(OR(B21="",E21="",Raw_Data!F21=""),"Missing",IF(COUNTIF($A$2:A21,A21)&gt;1,"Duplicate","Valid"))</f>
        <v/>
      </c>
    </row>
    <row r="22">
      <c r="A22" s="21">
        <f>TRIM(Raw_Data!A22)</f>
        <v/>
      </c>
      <c r="B22" s="22">
        <f>IF(Raw_Data!B22="","",Raw_Data!B22)</f>
        <v/>
      </c>
      <c r="C22" s="21">
        <f>PROPER(TRIM(Raw_Data!C22))</f>
        <v/>
      </c>
      <c r="D22" s="21">
        <f>PROPER(TRIM(Raw_Data!D22))</f>
        <v/>
      </c>
      <c r="E22" s="21">
        <f>IF(Raw_Data!E22="","",Raw_Data!E22)</f>
        <v/>
      </c>
      <c r="F22" s="25">
        <f>IF(Raw_Data!F22="",0,Raw_Data!F22)</f>
        <v/>
      </c>
      <c r="G22" s="21">
        <f>IF(B22="","",CHOOSE(MONTH(B22),"Jan","Feb","Mar","Apr","May","Jun","Jul","Aug","Sep","Oct","Nov","Dec"))</f>
        <v/>
      </c>
      <c r="H22" s="21">
        <f>IF(OR(B22="",E22="",Raw_Data!F22=""),"Missing",IF(COUNTIF($A$2:A22,A22)&gt;1,"Duplicate","Valid"))</f>
        <v/>
      </c>
    </row>
    <row r="23">
      <c r="A23" s="21">
        <f>TRIM(Raw_Data!A23)</f>
        <v/>
      </c>
      <c r="B23" s="22">
        <f>IF(Raw_Data!B23="","",Raw_Data!B23)</f>
        <v/>
      </c>
      <c r="C23" s="21">
        <f>PROPER(TRIM(Raw_Data!C23))</f>
        <v/>
      </c>
      <c r="D23" s="21">
        <f>PROPER(TRIM(Raw_Data!D23))</f>
        <v/>
      </c>
      <c r="E23" s="21">
        <f>IF(Raw_Data!E23="","",Raw_Data!E23)</f>
        <v/>
      </c>
      <c r="F23" s="25">
        <f>IF(Raw_Data!F23="",0,Raw_Data!F23)</f>
        <v/>
      </c>
      <c r="G23" s="21">
        <f>IF(B23="","",CHOOSE(MONTH(B23),"Jan","Feb","Mar","Apr","May","Jun","Jul","Aug","Sep","Oct","Nov","Dec"))</f>
        <v/>
      </c>
      <c r="H23" s="21">
        <f>IF(OR(B23="",E23="",Raw_Data!F23=""),"Missing",IF(COUNTIF($A$2:A23,A23)&gt;1,"Duplicate","Valid"))</f>
        <v/>
      </c>
    </row>
    <row r="24">
      <c r="A24" s="21">
        <f>TRIM(Raw_Data!A24)</f>
        <v/>
      </c>
      <c r="B24" s="22">
        <f>IF(Raw_Data!B24="","",Raw_Data!B24)</f>
        <v/>
      </c>
      <c r="C24" s="21">
        <f>PROPER(TRIM(Raw_Data!C24))</f>
        <v/>
      </c>
      <c r="D24" s="21">
        <f>PROPER(TRIM(Raw_Data!D24))</f>
        <v/>
      </c>
      <c r="E24" s="21">
        <f>IF(Raw_Data!E24="","",Raw_Data!E24)</f>
        <v/>
      </c>
      <c r="F24" s="25">
        <f>IF(Raw_Data!F24="",0,Raw_Data!F24)</f>
        <v/>
      </c>
      <c r="G24" s="21">
        <f>IF(B24="","",CHOOSE(MONTH(B24),"Jan","Feb","Mar","Apr","May","Jun","Jul","Aug","Sep","Oct","Nov","Dec"))</f>
        <v/>
      </c>
      <c r="H24" s="21">
        <f>IF(OR(B24="",E24="",Raw_Data!F24=""),"Missing",IF(COUNTIF($A$2:A24,A24)&gt;1,"Duplicate","Valid"))</f>
        <v/>
      </c>
    </row>
    <row r="25">
      <c r="A25" s="21">
        <f>TRIM(Raw_Data!A25)</f>
        <v/>
      </c>
      <c r="B25" s="22">
        <f>IF(Raw_Data!B25="","",Raw_Data!B25)</f>
        <v/>
      </c>
      <c r="C25" s="21">
        <f>PROPER(TRIM(Raw_Data!C25))</f>
        <v/>
      </c>
      <c r="D25" s="21">
        <f>PROPER(TRIM(Raw_Data!D25))</f>
        <v/>
      </c>
      <c r="E25" s="21">
        <f>IF(Raw_Data!E25="","",Raw_Data!E25)</f>
        <v/>
      </c>
      <c r="F25" s="25">
        <f>IF(Raw_Data!F25="",0,Raw_Data!F25)</f>
        <v/>
      </c>
      <c r="G25" s="21">
        <f>IF(B25="","",CHOOSE(MONTH(B25),"Jan","Feb","Mar","Apr","May","Jun","Jul","Aug","Sep","Oct","Nov","Dec"))</f>
        <v/>
      </c>
      <c r="H25" s="21">
        <f>IF(OR(B25="",E25="",Raw_Data!F25=""),"Missing",IF(COUNTIF($A$2:A25,A25)&gt;1,"Duplicate","Valid"))</f>
        <v/>
      </c>
    </row>
    <row r="26">
      <c r="A26" s="21">
        <f>TRIM(Raw_Data!A26)</f>
        <v/>
      </c>
      <c r="B26" s="22">
        <f>IF(Raw_Data!B26="","",Raw_Data!B26)</f>
        <v/>
      </c>
      <c r="C26" s="21">
        <f>PROPER(TRIM(Raw_Data!C26))</f>
        <v/>
      </c>
      <c r="D26" s="21">
        <f>PROPER(TRIM(Raw_Data!D26))</f>
        <v/>
      </c>
      <c r="E26" s="21">
        <f>IF(Raw_Data!E26="","",Raw_Data!E26)</f>
        <v/>
      </c>
      <c r="F26" s="25">
        <f>IF(Raw_Data!F26="",0,Raw_Data!F26)</f>
        <v/>
      </c>
      <c r="G26" s="21">
        <f>IF(B26="","",CHOOSE(MONTH(B26),"Jan","Feb","Mar","Apr","May","Jun","Jul","Aug","Sep","Oct","Nov","Dec"))</f>
        <v/>
      </c>
      <c r="H26" s="21">
        <f>IF(OR(B26="",E26="",Raw_Data!F26=""),"Missing",IF(COUNTIF($A$2:A26,A26)&gt;1,"Duplicate","Valid"))</f>
        <v/>
      </c>
    </row>
    <row r="27">
      <c r="A27" s="21">
        <f>TRIM(Raw_Data!A27)</f>
        <v/>
      </c>
      <c r="B27" s="22">
        <f>IF(Raw_Data!B27="","",Raw_Data!B27)</f>
        <v/>
      </c>
      <c r="C27" s="21">
        <f>PROPER(TRIM(Raw_Data!C27))</f>
        <v/>
      </c>
      <c r="D27" s="21">
        <f>PROPER(TRIM(Raw_Data!D27))</f>
        <v/>
      </c>
      <c r="E27" s="21">
        <f>IF(Raw_Data!E27="","",Raw_Data!E27)</f>
        <v/>
      </c>
      <c r="F27" s="25">
        <f>IF(Raw_Data!F27="",0,Raw_Data!F27)</f>
        <v/>
      </c>
      <c r="G27" s="21">
        <f>IF(B27="","",CHOOSE(MONTH(B27),"Jan","Feb","Mar","Apr","May","Jun","Jul","Aug","Sep","Oct","Nov","Dec"))</f>
        <v/>
      </c>
      <c r="H27" s="21">
        <f>IF(OR(B27="",E27="",Raw_Data!F27=""),"Missing",IF(COUNTIF($A$2:A27,A27)&gt;1,"Duplicate","Valid"))</f>
        <v/>
      </c>
    </row>
    <row r="28">
      <c r="A28" s="21">
        <f>TRIM(Raw_Data!A28)</f>
        <v/>
      </c>
      <c r="B28" s="22">
        <f>IF(Raw_Data!B28="","",Raw_Data!B28)</f>
        <v/>
      </c>
      <c r="C28" s="21">
        <f>PROPER(TRIM(Raw_Data!C28))</f>
        <v/>
      </c>
      <c r="D28" s="21">
        <f>PROPER(TRIM(Raw_Data!D28))</f>
        <v/>
      </c>
      <c r="E28" s="21">
        <f>IF(Raw_Data!E28="","",Raw_Data!E28)</f>
        <v/>
      </c>
      <c r="F28" s="25">
        <f>IF(Raw_Data!F28="",0,Raw_Data!F28)</f>
        <v/>
      </c>
      <c r="G28" s="21">
        <f>IF(B28="","",CHOOSE(MONTH(B28),"Jan","Feb","Mar","Apr","May","Jun","Jul","Aug","Sep","Oct","Nov","Dec"))</f>
        <v/>
      </c>
      <c r="H28" s="21">
        <f>IF(OR(B28="",E28="",Raw_Data!F28=""),"Missing",IF(COUNTIF($A$2:A28,A28)&gt;1,"Duplicate","Valid"))</f>
        <v/>
      </c>
    </row>
    <row r="29">
      <c r="A29" s="21">
        <f>TRIM(Raw_Data!A29)</f>
        <v/>
      </c>
      <c r="B29" s="22">
        <f>IF(Raw_Data!B29="","",Raw_Data!B29)</f>
        <v/>
      </c>
      <c r="C29" s="21">
        <f>PROPER(TRIM(Raw_Data!C29))</f>
        <v/>
      </c>
      <c r="D29" s="21">
        <f>PROPER(TRIM(Raw_Data!D29))</f>
        <v/>
      </c>
      <c r="E29" s="21">
        <f>IF(Raw_Data!E29="","",Raw_Data!E29)</f>
        <v/>
      </c>
      <c r="F29" s="25">
        <f>IF(Raw_Data!F29="",0,Raw_Data!F29)</f>
        <v/>
      </c>
      <c r="G29" s="21">
        <f>IF(B29="","",CHOOSE(MONTH(B29),"Jan","Feb","Mar","Apr","May","Jun","Jul","Aug","Sep","Oct","Nov","Dec"))</f>
        <v/>
      </c>
      <c r="H29" s="21">
        <f>IF(OR(B29="",E29="",Raw_Data!F29=""),"Missing",IF(COUNTIF($A$2:A29,A29)&gt;1,"Duplicate","Valid"))</f>
        <v/>
      </c>
    </row>
    <row r="30">
      <c r="A30" s="21">
        <f>TRIM(Raw_Data!A30)</f>
        <v/>
      </c>
      <c r="B30" s="22">
        <f>IF(Raw_Data!B30="","",Raw_Data!B30)</f>
        <v/>
      </c>
      <c r="C30" s="21">
        <f>PROPER(TRIM(Raw_Data!C30))</f>
        <v/>
      </c>
      <c r="D30" s="21">
        <f>PROPER(TRIM(Raw_Data!D30))</f>
        <v/>
      </c>
      <c r="E30" s="21">
        <f>IF(Raw_Data!E30="","",Raw_Data!E30)</f>
        <v/>
      </c>
      <c r="F30" s="25">
        <f>IF(Raw_Data!F30="",0,Raw_Data!F30)</f>
        <v/>
      </c>
      <c r="G30" s="21">
        <f>IF(B30="","",CHOOSE(MONTH(B30),"Jan","Feb","Mar","Apr","May","Jun","Jul","Aug","Sep","Oct","Nov","Dec"))</f>
        <v/>
      </c>
      <c r="H30" s="21">
        <f>IF(OR(B30="",E30="",Raw_Data!F30=""),"Missing",IF(COUNTIF($A$2:A30,A30)&gt;1,"Duplicate","Valid"))</f>
        <v/>
      </c>
    </row>
    <row r="31">
      <c r="A31" s="21">
        <f>TRIM(Raw_Data!A31)</f>
        <v/>
      </c>
      <c r="B31" s="22">
        <f>IF(Raw_Data!B31="","",Raw_Data!B31)</f>
        <v/>
      </c>
      <c r="C31" s="21">
        <f>PROPER(TRIM(Raw_Data!C31))</f>
        <v/>
      </c>
      <c r="D31" s="21">
        <f>PROPER(TRIM(Raw_Data!D31))</f>
        <v/>
      </c>
      <c r="E31" s="21">
        <f>IF(Raw_Data!E31="","",Raw_Data!E31)</f>
        <v/>
      </c>
      <c r="F31" s="25">
        <f>IF(Raw_Data!F31="",0,Raw_Data!F31)</f>
        <v/>
      </c>
      <c r="G31" s="21">
        <f>IF(B31="","",CHOOSE(MONTH(B31),"Jan","Feb","Mar","Apr","May","Jun","Jul","Aug","Sep","Oct","Nov","Dec"))</f>
        <v/>
      </c>
      <c r="H31" s="21">
        <f>IF(OR(B31="",E31="",Raw_Data!F31=""),"Missing",IF(COUNTIF($A$2:A31,A31)&gt;1,"Duplicate","Valid"))</f>
        <v/>
      </c>
    </row>
    <row r="32">
      <c r="A32" s="21">
        <f>TRIM(Raw_Data!A32)</f>
        <v/>
      </c>
      <c r="B32" s="22">
        <f>IF(Raw_Data!B32="","",Raw_Data!B32)</f>
        <v/>
      </c>
      <c r="C32" s="21">
        <f>PROPER(TRIM(Raw_Data!C32))</f>
        <v/>
      </c>
      <c r="D32" s="21">
        <f>PROPER(TRIM(Raw_Data!D32))</f>
        <v/>
      </c>
      <c r="E32" s="21">
        <f>IF(Raw_Data!E32="","",Raw_Data!E32)</f>
        <v/>
      </c>
      <c r="F32" s="25">
        <f>IF(Raw_Data!F32="",0,Raw_Data!F32)</f>
        <v/>
      </c>
      <c r="G32" s="21">
        <f>IF(B32="","",CHOOSE(MONTH(B32),"Jan","Feb","Mar","Apr","May","Jun","Jul","Aug","Sep","Oct","Nov","Dec"))</f>
        <v/>
      </c>
      <c r="H32" s="21">
        <f>IF(OR(B32="",E32="",Raw_Data!F32=""),"Missing",IF(COUNTIF($A$2:A32,A32)&gt;1,"Duplicate","Valid"))</f>
        <v/>
      </c>
    </row>
    <row r="33">
      <c r="A33" s="21">
        <f>TRIM(Raw_Data!A33)</f>
        <v/>
      </c>
      <c r="B33" s="22">
        <f>IF(Raw_Data!B33="","",Raw_Data!B33)</f>
        <v/>
      </c>
      <c r="C33" s="21">
        <f>PROPER(TRIM(Raw_Data!C33))</f>
        <v/>
      </c>
      <c r="D33" s="21">
        <f>PROPER(TRIM(Raw_Data!D33))</f>
        <v/>
      </c>
      <c r="E33" s="21">
        <f>IF(Raw_Data!E33="","",Raw_Data!E33)</f>
        <v/>
      </c>
      <c r="F33" s="25">
        <f>IF(Raw_Data!F33="",0,Raw_Data!F33)</f>
        <v/>
      </c>
      <c r="G33" s="21">
        <f>IF(B33="","",CHOOSE(MONTH(B33),"Jan","Feb","Mar","Apr","May","Jun","Jul","Aug","Sep","Oct","Nov","Dec"))</f>
        <v/>
      </c>
      <c r="H33" s="21">
        <f>IF(OR(B33="",E33="",Raw_Data!F33=""),"Missing",IF(COUNTIF($A$2:A33,A33)&gt;1,"Duplicate","Valid"))</f>
        <v/>
      </c>
    </row>
    <row r="34">
      <c r="A34" s="21">
        <f>TRIM(Raw_Data!A34)</f>
        <v/>
      </c>
      <c r="B34" s="22">
        <f>IF(Raw_Data!B34="","",Raw_Data!B34)</f>
        <v/>
      </c>
      <c r="C34" s="21">
        <f>PROPER(TRIM(Raw_Data!C34))</f>
        <v/>
      </c>
      <c r="D34" s="21">
        <f>PROPER(TRIM(Raw_Data!D34))</f>
        <v/>
      </c>
      <c r="E34" s="21">
        <f>IF(Raw_Data!E34="","",Raw_Data!E34)</f>
        <v/>
      </c>
      <c r="F34" s="25">
        <f>IF(Raw_Data!F34="",0,Raw_Data!F34)</f>
        <v/>
      </c>
      <c r="G34" s="21">
        <f>IF(B34="","",CHOOSE(MONTH(B34),"Jan","Feb","Mar","Apr","May","Jun","Jul","Aug","Sep","Oct","Nov","Dec"))</f>
        <v/>
      </c>
      <c r="H34" s="21">
        <f>IF(OR(B34="",E34="",Raw_Data!F34=""),"Missing",IF(COUNTIF($A$2:A34,A34)&gt;1,"Duplicate","Valid"))</f>
        <v/>
      </c>
    </row>
    <row r="35">
      <c r="A35" s="21">
        <f>TRIM(Raw_Data!A35)</f>
        <v/>
      </c>
      <c r="B35" s="22">
        <f>IF(Raw_Data!B35="","",Raw_Data!B35)</f>
        <v/>
      </c>
      <c r="C35" s="21">
        <f>PROPER(TRIM(Raw_Data!C35))</f>
        <v/>
      </c>
      <c r="D35" s="21">
        <f>PROPER(TRIM(Raw_Data!D35))</f>
        <v/>
      </c>
      <c r="E35" s="21">
        <f>IF(Raw_Data!E35="","",Raw_Data!E35)</f>
        <v/>
      </c>
      <c r="F35" s="25">
        <f>IF(Raw_Data!F35="",0,Raw_Data!F35)</f>
        <v/>
      </c>
      <c r="G35" s="21">
        <f>IF(B35="","",CHOOSE(MONTH(B35),"Jan","Feb","Mar","Apr","May","Jun","Jul","Aug","Sep","Oct","Nov","Dec"))</f>
        <v/>
      </c>
      <c r="H35" s="21">
        <f>IF(OR(B35="",E35="",Raw_Data!F35=""),"Missing",IF(COUNTIF($A$2:A35,A35)&gt;1,"Duplicate","Valid"))</f>
        <v/>
      </c>
    </row>
    <row r="36">
      <c r="A36" s="21">
        <f>TRIM(Raw_Data!A36)</f>
        <v/>
      </c>
      <c r="B36" s="22">
        <f>IF(Raw_Data!B36="","",Raw_Data!B36)</f>
        <v/>
      </c>
      <c r="C36" s="21">
        <f>PROPER(TRIM(Raw_Data!C36))</f>
        <v/>
      </c>
      <c r="D36" s="21">
        <f>PROPER(TRIM(Raw_Data!D36))</f>
        <v/>
      </c>
      <c r="E36" s="21">
        <f>IF(Raw_Data!E36="","",Raw_Data!E36)</f>
        <v/>
      </c>
      <c r="F36" s="25">
        <f>IF(Raw_Data!F36="",0,Raw_Data!F36)</f>
        <v/>
      </c>
      <c r="G36" s="21">
        <f>IF(B36="","",CHOOSE(MONTH(B36),"Jan","Feb","Mar","Apr","May","Jun","Jul","Aug","Sep","Oct","Nov","Dec"))</f>
        <v/>
      </c>
      <c r="H36" s="21">
        <f>IF(OR(B36="",E36="",Raw_Data!F36=""),"Missing",IF(COUNTIF($A$2:A36,A36)&gt;1,"Duplicate","Valid"))</f>
        <v/>
      </c>
    </row>
    <row r="37">
      <c r="A37" s="21">
        <f>TRIM(Raw_Data!A37)</f>
        <v/>
      </c>
      <c r="B37" s="22">
        <f>IF(Raw_Data!B37="","",Raw_Data!B37)</f>
        <v/>
      </c>
      <c r="C37" s="21">
        <f>PROPER(TRIM(Raw_Data!C37))</f>
        <v/>
      </c>
      <c r="D37" s="21">
        <f>PROPER(TRIM(Raw_Data!D37))</f>
        <v/>
      </c>
      <c r="E37" s="21">
        <f>IF(Raw_Data!E37="","",Raw_Data!E37)</f>
        <v/>
      </c>
      <c r="F37" s="25">
        <f>IF(Raw_Data!F37="",0,Raw_Data!F37)</f>
        <v/>
      </c>
      <c r="G37" s="21">
        <f>IF(B37="","",CHOOSE(MONTH(B37),"Jan","Feb","Mar","Apr","May","Jun","Jul","Aug","Sep","Oct","Nov","Dec"))</f>
        <v/>
      </c>
      <c r="H37" s="21">
        <f>IF(OR(B37="",E37="",Raw_Data!F37=""),"Missing",IF(COUNTIF($A$2:A37,A37)&gt;1,"Duplicate","Valid"))</f>
        <v/>
      </c>
    </row>
    <row r="38">
      <c r="A38" s="21">
        <f>TRIM(Raw_Data!A38)</f>
        <v/>
      </c>
      <c r="B38" s="22">
        <f>IF(Raw_Data!B38="","",Raw_Data!B38)</f>
        <v/>
      </c>
      <c r="C38" s="21">
        <f>PROPER(TRIM(Raw_Data!C38))</f>
        <v/>
      </c>
      <c r="D38" s="21">
        <f>PROPER(TRIM(Raw_Data!D38))</f>
        <v/>
      </c>
      <c r="E38" s="21">
        <f>IF(Raw_Data!E38="","",Raw_Data!E38)</f>
        <v/>
      </c>
      <c r="F38" s="25">
        <f>IF(Raw_Data!F38="",0,Raw_Data!F38)</f>
        <v/>
      </c>
      <c r="G38" s="21">
        <f>IF(B38="","",CHOOSE(MONTH(B38),"Jan","Feb","Mar","Apr","May","Jun","Jul","Aug","Sep","Oct","Nov","Dec"))</f>
        <v/>
      </c>
      <c r="H38" s="21">
        <f>IF(OR(B38="",E38="",Raw_Data!F38=""),"Missing",IF(COUNTIF($A$2:A38,A38)&gt;1,"Duplicate","Valid"))</f>
        <v/>
      </c>
    </row>
    <row r="39">
      <c r="A39" s="21">
        <f>TRIM(Raw_Data!A39)</f>
        <v/>
      </c>
      <c r="B39" s="22">
        <f>IF(Raw_Data!B39="","",Raw_Data!B39)</f>
        <v/>
      </c>
      <c r="C39" s="21">
        <f>PROPER(TRIM(Raw_Data!C39))</f>
        <v/>
      </c>
      <c r="D39" s="21">
        <f>PROPER(TRIM(Raw_Data!D39))</f>
        <v/>
      </c>
      <c r="E39" s="21">
        <f>IF(Raw_Data!E39="","",Raw_Data!E39)</f>
        <v/>
      </c>
      <c r="F39" s="25">
        <f>IF(Raw_Data!F39="",0,Raw_Data!F39)</f>
        <v/>
      </c>
      <c r="G39" s="21">
        <f>IF(B39="","",CHOOSE(MONTH(B39),"Jan","Feb","Mar","Apr","May","Jun","Jul","Aug","Sep","Oct","Nov","Dec"))</f>
        <v/>
      </c>
      <c r="H39" s="21">
        <f>IF(OR(B39="",E39="",Raw_Data!F39=""),"Missing",IF(COUNTIF($A$2:A39,A39)&gt;1,"Duplicate","Valid"))</f>
        <v/>
      </c>
    </row>
    <row r="40">
      <c r="A40" s="21">
        <f>TRIM(Raw_Data!A40)</f>
        <v/>
      </c>
      <c r="B40" s="22">
        <f>IF(Raw_Data!B40="","",Raw_Data!B40)</f>
        <v/>
      </c>
      <c r="C40" s="21">
        <f>PROPER(TRIM(Raw_Data!C40))</f>
        <v/>
      </c>
      <c r="D40" s="21">
        <f>PROPER(TRIM(Raw_Data!D40))</f>
        <v/>
      </c>
      <c r="E40" s="21">
        <f>IF(Raw_Data!E40="","",Raw_Data!E40)</f>
        <v/>
      </c>
      <c r="F40" s="25">
        <f>IF(Raw_Data!F40="",0,Raw_Data!F40)</f>
        <v/>
      </c>
      <c r="G40" s="21">
        <f>IF(B40="","",CHOOSE(MONTH(B40),"Jan","Feb","Mar","Apr","May","Jun","Jul","Aug","Sep","Oct","Nov","Dec"))</f>
        <v/>
      </c>
      <c r="H40" s="21">
        <f>IF(OR(B40="",E40="",Raw_Data!F40=""),"Missing",IF(COUNTIF($A$2:A40,A40)&gt;1,"Duplicate","Valid"))</f>
        <v/>
      </c>
    </row>
    <row r="41">
      <c r="A41" s="21">
        <f>TRIM(Raw_Data!A41)</f>
        <v/>
      </c>
      <c r="B41" s="22">
        <f>IF(Raw_Data!B41="","",Raw_Data!B41)</f>
        <v/>
      </c>
      <c r="C41" s="21">
        <f>PROPER(TRIM(Raw_Data!C41))</f>
        <v/>
      </c>
      <c r="D41" s="21">
        <f>PROPER(TRIM(Raw_Data!D41))</f>
        <v/>
      </c>
      <c r="E41" s="21">
        <f>IF(Raw_Data!E41="","",Raw_Data!E41)</f>
        <v/>
      </c>
      <c r="F41" s="25">
        <f>IF(Raw_Data!F41="",0,Raw_Data!F41)</f>
        <v/>
      </c>
      <c r="G41" s="21">
        <f>IF(B41="","",CHOOSE(MONTH(B41),"Jan","Feb","Mar","Apr","May","Jun","Jul","Aug","Sep","Oct","Nov","Dec"))</f>
        <v/>
      </c>
      <c r="H41" s="21">
        <f>IF(OR(B41="",E41="",Raw_Data!F41=""),"Missing",IF(COUNTIF($A$2:A41,A41)&gt;1,"Duplicate","Valid"))</f>
        <v/>
      </c>
    </row>
    <row r="42">
      <c r="A42" s="21">
        <f>TRIM(Raw_Data!A42)</f>
        <v/>
      </c>
      <c r="B42" s="22">
        <f>IF(Raw_Data!B42="","",Raw_Data!B42)</f>
        <v/>
      </c>
      <c r="C42" s="21">
        <f>PROPER(TRIM(Raw_Data!C42))</f>
        <v/>
      </c>
      <c r="D42" s="21">
        <f>PROPER(TRIM(Raw_Data!D42))</f>
        <v/>
      </c>
      <c r="E42" s="21">
        <f>IF(Raw_Data!E42="","",Raw_Data!E42)</f>
        <v/>
      </c>
      <c r="F42" s="25">
        <f>IF(Raw_Data!F42="",0,Raw_Data!F42)</f>
        <v/>
      </c>
      <c r="G42" s="21">
        <f>IF(B42="","",CHOOSE(MONTH(B42),"Jan","Feb","Mar","Apr","May","Jun","Jul","Aug","Sep","Oct","Nov","Dec"))</f>
        <v/>
      </c>
      <c r="H42" s="21">
        <f>IF(OR(B42="",E42="",Raw_Data!F42=""),"Missing",IF(COUNTIF($A$2:A42,A42)&gt;1,"Duplicate","Valid"))</f>
        <v/>
      </c>
    </row>
    <row r="43">
      <c r="A43" s="21">
        <f>TRIM(Raw_Data!A43)</f>
        <v/>
      </c>
      <c r="B43" s="22">
        <f>IF(Raw_Data!B43="","",Raw_Data!B43)</f>
        <v/>
      </c>
      <c r="C43" s="21">
        <f>PROPER(TRIM(Raw_Data!C43))</f>
        <v/>
      </c>
      <c r="D43" s="21">
        <f>PROPER(TRIM(Raw_Data!D43))</f>
        <v/>
      </c>
      <c r="E43" s="21">
        <f>IF(Raw_Data!E43="","",Raw_Data!E43)</f>
        <v/>
      </c>
      <c r="F43" s="25">
        <f>IF(Raw_Data!F43="",0,Raw_Data!F43)</f>
        <v/>
      </c>
      <c r="G43" s="21">
        <f>IF(B43="","",CHOOSE(MONTH(B43),"Jan","Feb","Mar","Apr","May","Jun","Jul","Aug","Sep","Oct","Nov","Dec"))</f>
        <v/>
      </c>
      <c r="H43" s="21">
        <f>IF(OR(B43="",E43="",Raw_Data!F43=""),"Missing",IF(COUNTIF($A$2:A43,A43)&gt;1,"Duplicate","Valid"))</f>
        <v/>
      </c>
    </row>
    <row r="44">
      <c r="A44" s="21">
        <f>TRIM(Raw_Data!A44)</f>
        <v/>
      </c>
      <c r="B44" s="22">
        <f>IF(Raw_Data!B44="","",Raw_Data!B44)</f>
        <v/>
      </c>
      <c r="C44" s="21">
        <f>PROPER(TRIM(Raw_Data!C44))</f>
        <v/>
      </c>
      <c r="D44" s="21">
        <f>PROPER(TRIM(Raw_Data!D44))</f>
        <v/>
      </c>
      <c r="E44" s="21">
        <f>IF(Raw_Data!E44="","",Raw_Data!E44)</f>
        <v/>
      </c>
      <c r="F44" s="25">
        <f>IF(Raw_Data!F44="",0,Raw_Data!F44)</f>
        <v/>
      </c>
      <c r="G44" s="21">
        <f>IF(B44="","",CHOOSE(MONTH(B44),"Jan","Feb","Mar","Apr","May","Jun","Jul","Aug","Sep","Oct","Nov","Dec"))</f>
        <v/>
      </c>
      <c r="H44" s="21">
        <f>IF(OR(B44="",E44="",Raw_Data!F44=""),"Missing",IF(COUNTIF($A$2:A44,A44)&gt;1,"Duplicate","Valid"))</f>
        <v/>
      </c>
    </row>
    <row r="45">
      <c r="A45" s="21">
        <f>TRIM(Raw_Data!A45)</f>
        <v/>
      </c>
      <c r="B45" s="22">
        <f>IF(Raw_Data!B45="","",Raw_Data!B45)</f>
        <v/>
      </c>
      <c r="C45" s="21">
        <f>PROPER(TRIM(Raw_Data!C45))</f>
        <v/>
      </c>
      <c r="D45" s="21">
        <f>PROPER(TRIM(Raw_Data!D45))</f>
        <v/>
      </c>
      <c r="E45" s="21">
        <f>IF(Raw_Data!E45="","",Raw_Data!E45)</f>
        <v/>
      </c>
      <c r="F45" s="25">
        <f>IF(Raw_Data!F45="",0,Raw_Data!F45)</f>
        <v/>
      </c>
      <c r="G45" s="21">
        <f>IF(B45="","",CHOOSE(MONTH(B45),"Jan","Feb","Mar","Apr","May","Jun","Jul","Aug","Sep","Oct","Nov","Dec"))</f>
        <v/>
      </c>
      <c r="H45" s="21">
        <f>IF(OR(B45="",E45="",Raw_Data!F45=""),"Missing",IF(COUNTIF($A$2:A45,A45)&gt;1,"Duplicate","Valid"))</f>
        <v/>
      </c>
    </row>
    <row r="46">
      <c r="A46" s="21">
        <f>TRIM(Raw_Data!A46)</f>
        <v/>
      </c>
      <c r="B46" s="22">
        <f>IF(Raw_Data!B46="","",Raw_Data!B46)</f>
        <v/>
      </c>
      <c r="C46" s="21">
        <f>PROPER(TRIM(Raw_Data!C46))</f>
        <v/>
      </c>
      <c r="D46" s="21">
        <f>PROPER(TRIM(Raw_Data!D46))</f>
        <v/>
      </c>
      <c r="E46" s="21">
        <f>IF(Raw_Data!E46="","",Raw_Data!E46)</f>
        <v/>
      </c>
      <c r="F46" s="25">
        <f>IF(Raw_Data!F46="",0,Raw_Data!F46)</f>
        <v/>
      </c>
      <c r="G46" s="21">
        <f>IF(B46="","",CHOOSE(MONTH(B46),"Jan","Feb","Mar","Apr","May","Jun","Jul","Aug","Sep","Oct","Nov","Dec"))</f>
        <v/>
      </c>
      <c r="H46" s="21">
        <f>IF(OR(B46="",E46="",Raw_Data!F46=""),"Missing",IF(COUNTIF($A$2:A46,A46)&gt;1,"Duplicate","Valid"))</f>
        <v/>
      </c>
    </row>
    <row r="47">
      <c r="A47" s="21">
        <f>TRIM(Raw_Data!A47)</f>
        <v/>
      </c>
      <c r="B47" s="22">
        <f>IF(Raw_Data!B47="","",Raw_Data!B47)</f>
        <v/>
      </c>
      <c r="C47" s="21">
        <f>PROPER(TRIM(Raw_Data!C47))</f>
        <v/>
      </c>
      <c r="D47" s="21">
        <f>PROPER(TRIM(Raw_Data!D47))</f>
        <v/>
      </c>
      <c r="E47" s="21">
        <f>IF(Raw_Data!E47="","",Raw_Data!E47)</f>
        <v/>
      </c>
      <c r="F47" s="25">
        <f>IF(Raw_Data!F47="",0,Raw_Data!F47)</f>
        <v/>
      </c>
      <c r="G47" s="21">
        <f>IF(B47="","",CHOOSE(MONTH(B47),"Jan","Feb","Mar","Apr","May","Jun","Jul","Aug","Sep","Oct","Nov","Dec"))</f>
        <v/>
      </c>
      <c r="H47" s="21">
        <f>IF(OR(B47="",E47="",Raw_Data!F47=""),"Missing",IF(COUNTIF($A$2:A47,A47)&gt;1,"Duplicate","Valid"))</f>
        <v/>
      </c>
    </row>
    <row r="48">
      <c r="A48" s="21">
        <f>TRIM(Raw_Data!A48)</f>
        <v/>
      </c>
      <c r="B48" s="22">
        <f>IF(Raw_Data!B48="","",Raw_Data!B48)</f>
        <v/>
      </c>
      <c r="C48" s="21">
        <f>PROPER(TRIM(Raw_Data!C48))</f>
        <v/>
      </c>
      <c r="D48" s="21">
        <f>PROPER(TRIM(Raw_Data!D48))</f>
        <v/>
      </c>
      <c r="E48" s="21">
        <f>IF(Raw_Data!E48="","",Raw_Data!E48)</f>
        <v/>
      </c>
      <c r="F48" s="25">
        <f>IF(Raw_Data!F48="",0,Raw_Data!F48)</f>
        <v/>
      </c>
      <c r="G48" s="21">
        <f>IF(B48="","",CHOOSE(MONTH(B48),"Jan","Feb","Mar","Apr","May","Jun","Jul","Aug","Sep","Oct","Nov","Dec"))</f>
        <v/>
      </c>
      <c r="H48" s="21">
        <f>IF(OR(B48="",E48="",Raw_Data!F48=""),"Missing",IF(COUNTIF($A$2:A48,A48)&gt;1,"Duplicate","Valid"))</f>
        <v/>
      </c>
    </row>
    <row r="49">
      <c r="A49" s="21">
        <f>TRIM(Raw_Data!A49)</f>
        <v/>
      </c>
      <c r="B49" s="22">
        <f>IF(Raw_Data!B49="","",Raw_Data!B49)</f>
        <v/>
      </c>
      <c r="C49" s="21">
        <f>PROPER(TRIM(Raw_Data!C49))</f>
        <v/>
      </c>
      <c r="D49" s="21">
        <f>PROPER(TRIM(Raw_Data!D49))</f>
        <v/>
      </c>
      <c r="E49" s="21">
        <f>IF(Raw_Data!E49="","",Raw_Data!E49)</f>
        <v/>
      </c>
      <c r="F49" s="25">
        <f>IF(Raw_Data!F49="",0,Raw_Data!F49)</f>
        <v/>
      </c>
      <c r="G49" s="21">
        <f>IF(B49="","",CHOOSE(MONTH(B49),"Jan","Feb","Mar","Apr","May","Jun","Jul","Aug","Sep","Oct","Nov","Dec"))</f>
        <v/>
      </c>
      <c r="H49" s="21">
        <f>IF(OR(B49="",E49="",Raw_Data!F49=""),"Missing",IF(COUNTIF($A$2:A49,A49)&gt;1,"Duplicate","Valid"))</f>
        <v/>
      </c>
    </row>
    <row r="50">
      <c r="A50" s="21">
        <f>TRIM(Raw_Data!A50)</f>
        <v/>
      </c>
      <c r="B50" s="22">
        <f>IF(Raw_Data!B50="","",Raw_Data!B50)</f>
        <v/>
      </c>
      <c r="C50" s="21">
        <f>PROPER(TRIM(Raw_Data!C50))</f>
        <v/>
      </c>
      <c r="D50" s="21">
        <f>PROPER(TRIM(Raw_Data!D50))</f>
        <v/>
      </c>
      <c r="E50" s="21">
        <f>IF(Raw_Data!E50="","",Raw_Data!E50)</f>
        <v/>
      </c>
      <c r="F50" s="25">
        <f>IF(Raw_Data!F50="",0,Raw_Data!F50)</f>
        <v/>
      </c>
      <c r="G50" s="21">
        <f>IF(B50="","",CHOOSE(MONTH(B50),"Jan","Feb","Mar","Apr","May","Jun","Jul","Aug","Sep","Oct","Nov","Dec"))</f>
        <v/>
      </c>
      <c r="H50" s="21">
        <f>IF(OR(B50="",E50="",Raw_Data!F50=""),"Missing",IF(COUNTIF($A$2:A50,A50)&gt;1,"Duplicate","Valid"))</f>
        <v/>
      </c>
    </row>
    <row r="51">
      <c r="A51" s="21">
        <f>TRIM(Raw_Data!A51)</f>
        <v/>
      </c>
      <c r="B51" s="22">
        <f>IF(Raw_Data!B51="","",Raw_Data!B51)</f>
        <v/>
      </c>
      <c r="C51" s="21">
        <f>PROPER(TRIM(Raw_Data!C51))</f>
        <v/>
      </c>
      <c r="D51" s="21">
        <f>PROPER(TRIM(Raw_Data!D51))</f>
        <v/>
      </c>
      <c r="E51" s="21">
        <f>IF(Raw_Data!E51="","",Raw_Data!E51)</f>
        <v/>
      </c>
      <c r="F51" s="25">
        <f>IF(Raw_Data!F51="",0,Raw_Data!F51)</f>
        <v/>
      </c>
      <c r="G51" s="21">
        <f>IF(B51="","",CHOOSE(MONTH(B51),"Jan","Feb","Mar","Apr","May","Jun","Jul","Aug","Sep","Oct","Nov","Dec"))</f>
        <v/>
      </c>
      <c r="H51" s="21">
        <f>IF(OR(B51="",E51="",Raw_Data!F51=""),"Missing",IF(COUNTIF($A$2:A51,A51)&gt;1,"Duplicate","Valid"))</f>
        <v/>
      </c>
    </row>
    <row r="52">
      <c r="A52" s="21">
        <f>TRIM(Raw_Data!A52)</f>
        <v/>
      </c>
      <c r="B52" s="22">
        <f>IF(Raw_Data!B52="","",Raw_Data!B52)</f>
        <v/>
      </c>
      <c r="C52" s="21">
        <f>PROPER(TRIM(Raw_Data!C52))</f>
        <v/>
      </c>
      <c r="D52" s="21">
        <f>PROPER(TRIM(Raw_Data!D52))</f>
        <v/>
      </c>
      <c r="E52" s="21">
        <f>IF(Raw_Data!E52="","",Raw_Data!E52)</f>
        <v/>
      </c>
      <c r="F52" s="25">
        <f>IF(Raw_Data!F52="",0,Raw_Data!F52)</f>
        <v/>
      </c>
      <c r="G52" s="21">
        <f>IF(B52="","",CHOOSE(MONTH(B52),"Jan","Feb","Mar","Apr","May","Jun","Jul","Aug","Sep","Oct","Nov","Dec"))</f>
        <v/>
      </c>
      <c r="H52" s="21">
        <f>IF(OR(B52="",E52="",Raw_Data!F52=""),"Missing",IF(COUNTIF($A$2:A52,A52)&gt;1,"Duplicate","Valid"))</f>
        <v/>
      </c>
    </row>
    <row r="53">
      <c r="A53" s="21">
        <f>TRIM(Raw_Data!A53)</f>
        <v/>
      </c>
      <c r="B53" s="22">
        <f>IF(Raw_Data!B53="","",Raw_Data!B53)</f>
        <v/>
      </c>
      <c r="C53" s="21">
        <f>PROPER(TRIM(Raw_Data!C53))</f>
        <v/>
      </c>
      <c r="D53" s="21">
        <f>PROPER(TRIM(Raw_Data!D53))</f>
        <v/>
      </c>
      <c r="E53" s="21">
        <f>IF(Raw_Data!E53="","",Raw_Data!E53)</f>
        <v/>
      </c>
      <c r="F53" s="25">
        <f>IF(Raw_Data!F53="",0,Raw_Data!F53)</f>
        <v/>
      </c>
      <c r="G53" s="21">
        <f>IF(B53="","",CHOOSE(MONTH(B53),"Jan","Feb","Mar","Apr","May","Jun","Jul","Aug","Sep","Oct","Nov","Dec"))</f>
        <v/>
      </c>
      <c r="H53" s="21">
        <f>IF(OR(B53="",E53="",Raw_Data!F53=""),"Missing",IF(COUNTIF($A$2:A53,A53)&gt;1,"Duplicate","Valid"))</f>
        <v/>
      </c>
    </row>
    <row r="54">
      <c r="A54" s="21">
        <f>TRIM(Raw_Data!A54)</f>
        <v/>
      </c>
      <c r="B54" s="22">
        <f>IF(Raw_Data!B54="","",Raw_Data!B54)</f>
        <v/>
      </c>
      <c r="C54" s="21">
        <f>PROPER(TRIM(Raw_Data!C54))</f>
        <v/>
      </c>
      <c r="D54" s="21">
        <f>PROPER(TRIM(Raw_Data!D54))</f>
        <v/>
      </c>
      <c r="E54" s="21">
        <f>IF(Raw_Data!E54="","",Raw_Data!E54)</f>
        <v/>
      </c>
      <c r="F54" s="25">
        <f>IF(Raw_Data!F54="",0,Raw_Data!F54)</f>
        <v/>
      </c>
      <c r="G54" s="21">
        <f>IF(B54="","",CHOOSE(MONTH(B54),"Jan","Feb","Mar","Apr","May","Jun","Jul","Aug","Sep","Oct","Nov","Dec"))</f>
        <v/>
      </c>
      <c r="H54" s="21">
        <f>IF(OR(B54="",E54="",Raw_Data!F54=""),"Missing",IF(COUNTIF($A$2:A54,A54)&gt;1,"Duplicate","Valid"))</f>
        <v/>
      </c>
    </row>
    <row r="55">
      <c r="A55" s="21">
        <f>TRIM(Raw_Data!A55)</f>
        <v/>
      </c>
      <c r="B55" s="22">
        <f>IF(Raw_Data!B55="","",Raw_Data!B55)</f>
        <v/>
      </c>
      <c r="C55" s="21">
        <f>PROPER(TRIM(Raw_Data!C55))</f>
        <v/>
      </c>
      <c r="D55" s="21">
        <f>PROPER(TRIM(Raw_Data!D55))</f>
        <v/>
      </c>
      <c r="E55" s="21">
        <f>IF(Raw_Data!E55="","",Raw_Data!E55)</f>
        <v/>
      </c>
      <c r="F55" s="25">
        <f>IF(Raw_Data!F55="",0,Raw_Data!F55)</f>
        <v/>
      </c>
      <c r="G55" s="21">
        <f>IF(B55="","",CHOOSE(MONTH(B55),"Jan","Feb","Mar","Apr","May","Jun","Jul","Aug","Sep","Oct","Nov","Dec"))</f>
        <v/>
      </c>
      <c r="H55" s="21">
        <f>IF(OR(B55="",E55="",Raw_Data!F55=""),"Missing",IF(COUNTIF($A$2:A55,A55)&gt;1,"Duplicate","Valid"))</f>
        <v/>
      </c>
    </row>
    <row r="56">
      <c r="A56" s="21">
        <f>TRIM(Raw_Data!A56)</f>
        <v/>
      </c>
      <c r="B56" s="22">
        <f>IF(Raw_Data!B56="","",Raw_Data!B56)</f>
        <v/>
      </c>
      <c r="C56" s="21">
        <f>PROPER(TRIM(Raw_Data!C56))</f>
        <v/>
      </c>
      <c r="D56" s="21">
        <f>PROPER(TRIM(Raw_Data!D56))</f>
        <v/>
      </c>
      <c r="E56" s="21">
        <f>IF(Raw_Data!E56="","",Raw_Data!E56)</f>
        <v/>
      </c>
      <c r="F56" s="25">
        <f>IF(Raw_Data!F56="",0,Raw_Data!F56)</f>
        <v/>
      </c>
      <c r="G56" s="21">
        <f>IF(B56="","",CHOOSE(MONTH(B56),"Jan","Feb","Mar","Apr","May","Jun","Jul","Aug","Sep","Oct","Nov","Dec"))</f>
        <v/>
      </c>
      <c r="H56" s="21">
        <f>IF(OR(B56="",E56="",Raw_Data!F56=""),"Missing",IF(COUNTIF($A$2:A56,A56)&gt;1,"Duplicate","Valid"))</f>
        <v/>
      </c>
    </row>
    <row r="57">
      <c r="A57" s="21">
        <f>TRIM(Raw_Data!A57)</f>
        <v/>
      </c>
      <c r="B57" s="22">
        <f>IF(Raw_Data!B57="","",Raw_Data!B57)</f>
        <v/>
      </c>
      <c r="C57" s="21">
        <f>PROPER(TRIM(Raw_Data!C57))</f>
        <v/>
      </c>
      <c r="D57" s="21">
        <f>PROPER(TRIM(Raw_Data!D57))</f>
        <v/>
      </c>
      <c r="E57" s="21">
        <f>IF(Raw_Data!E57="","",Raw_Data!E57)</f>
        <v/>
      </c>
      <c r="F57" s="25">
        <f>IF(Raw_Data!F57="",0,Raw_Data!F57)</f>
        <v/>
      </c>
      <c r="G57" s="21">
        <f>IF(B57="","",CHOOSE(MONTH(B57),"Jan","Feb","Mar","Apr","May","Jun","Jul","Aug","Sep","Oct","Nov","Dec"))</f>
        <v/>
      </c>
      <c r="H57" s="21">
        <f>IF(OR(B57="",E57="",Raw_Data!F57=""),"Missing",IF(COUNTIF($A$2:A57,A57)&gt;1,"Duplicate","Valid"))</f>
        <v/>
      </c>
    </row>
    <row r="58">
      <c r="A58" s="21">
        <f>TRIM(Raw_Data!A58)</f>
        <v/>
      </c>
      <c r="B58" s="22">
        <f>IF(Raw_Data!B58="","",Raw_Data!B58)</f>
        <v/>
      </c>
      <c r="C58" s="21">
        <f>PROPER(TRIM(Raw_Data!C58))</f>
        <v/>
      </c>
      <c r="D58" s="21">
        <f>PROPER(TRIM(Raw_Data!D58))</f>
        <v/>
      </c>
      <c r="E58" s="21">
        <f>IF(Raw_Data!E58="","",Raw_Data!E58)</f>
        <v/>
      </c>
      <c r="F58" s="25">
        <f>IF(Raw_Data!F58="",0,Raw_Data!F58)</f>
        <v/>
      </c>
      <c r="G58" s="21">
        <f>IF(B58="","",CHOOSE(MONTH(B58),"Jan","Feb","Mar","Apr","May","Jun","Jul","Aug","Sep","Oct","Nov","Dec"))</f>
        <v/>
      </c>
      <c r="H58" s="21">
        <f>IF(OR(B58="",E58="",Raw_Data!F58=""),"Missing",IF(COUNTIF($A$2:A58,A58)&gt;1,"Duplicate","Valid"))</f>
        <v/>
      </c>
    </row>
    <row r="59">
      <c r="A59" s="21">
        <f>TRIM(Raw_Data!A59)</f>
        <v/>
      </c>
      <c r="B59" s="22">
        <f>IF(Raw_Data!B59="","",Raw_Data!B59)</f>
        <v/>
      </c>
      <c r="C59" s="21">
        <f>PROPER(TRIM(Raw_Data!C59))</f>
        <v/>
      </c>
      <c r="D59" s="21">
        <f>PROPER(TRIM(Raw_Data!D59))</f>
        <v/>
      </c>
      <c r="E59" s="21">
        <f>IF(Raw_Data!E59="","",Raw_Data!E59)</f>
        <v/>
      </c>
      <c r="F59" s="25">
        <f>IF(Raw_Data!F59="",0,Raw_Data!F59)</f>
        <v/>
      </c>
      <c r="G59" s="21">
        <f>IF(B59="","",CHOOSE(MONTH(B59),"Jan","Feb","Mar","Apr","May","Jun","Jul","Aug","Sep","Oct","Nov","Dec"))</f>
        <v/>
      </c>
      <c r="H59" s="21">
        <f>IF(OR(B59="",E59="",Raw_Data!F59=""),"Missing",IF(COUNTIF($A$2:A59,A59)&gt;1,"Duplicate","Valid"))</f>
        <v/>
      </c>
    </row>
    <row r="60">
      <c r="A60" s="21">
        <f>TRIM(Raw_Data!A60)</f>
        <v/>
      </c>
      <c r="B60" s="22">
        <f>IF(Raw_Data!B60="","",Raw_Data!B60)</f>
        <v/>
      </c>
      <c r="C60" s="21">
        <f>PROPER(TRIM(Raw_Data!C60))</f>
        <v/>
      </c>
      <c r="D60" s="21">
        <f>PROPER(TRIM(Raw_Data!D60))</f>
        <v/>
      </c>
      <c r="E60" s="21">
        <f>IF(Raw_Data!E60="","",Raw_Data!E60)</f>
        <v/>
      </c>
      <c r="F60" s="25">
        <f>IF(Raw_Data!F60="",0,Raw_Data!F60)</f>
        <v/>
      </c>
      <c r="G60" s="21">
        <f>IF(B60="","",CHOOSE(MONTH(B60),"Jan","Feb","Mar","Apr","May","Jun","Jul","Aug","Sep","Oct","Nov","Dec"))</f>
        <v/>
      </c>
      <c r="H60" s="21">
        <f>IF(OR(B60="",E60="",Raw_Data!F60=""),"Missing",IF(COUNTIF($A$2:A60,A60)&gt;1,"Duplicate","Valid"))</f>
        <v/>
      </c>
    </row>
    <row r="61">
      <c r="A61" s="21">
        <f>TRIM(Raw_Data!A61)</f>
        <v/>
      </c>
      <c r="B61" s="22">
        <f>IF(Raw_Data!B61="","",Raw_Data!B61)</f>
        <v/>
      </c>
      <c r="C61" s="21">
        <f>PROPER(TRIM(Raw_Data!C61))</f>
        <v/>
      </c>
      <c r="D61" s="21">
        <f>PROPER(TRIM(Raw_Data!D61))</f>
        <v/>
      </c>
      <c r="E61" s="21">
        <f>IF(Raw_Data!E61="","",Raw_Data!E61)</f>
        <v/>
      </c>
      <c r="F61" s="25">
        <f>IF(Raw_Data!F61="",0,Raw_Data!F61)</f>
        <v/>
      </c>
      <c r="G61" s="21">
        <f>IF(B61="","",CHOOSE(MONTH(B61),"Jan","Feb","Mar","Apr","May","Jun","Jul","Aug","Sep","Oct","Nov","Dec"))</f>
        <v/>
      </c>
      <c r="H61" s="21">
        <f>IF(OR(B61="",E61="",Raw_Data!F61=""),"Missing",IF(COUNTIF($A$2:A61,A61)&gt;1,"Duplicate","Valid"))</f>
        <v/>
      </c>
    </row>
    <row r="62">
      <c r="A62" s="21">
        <f>TRIM(Raw_Data!A62)</f>
        <v/>
      </c>
      <c r="B62" s="22">
        <f>IF(Raw_Data!B62="","",Raw_Data!B62)</f>
        <v/>
      </c>
      <c r="C62" s="21">
        <f>PROPER(TRIM(Raw_Data!C62))</f>
        <v/>
      </c>
      <c r="D62" s="21">
        <f>PROPER(TRIM(Raw_Data!D62))</f>
        <v/>
      </c>
      <c r="E62" s="21">
        <f>IF(Raw_Data!E62="","",Raw_Data!E62)</f>
        <v/>
      </c>
      <c r="F62" s="25">
        <f>IF(Raw_Data!F62="",0,Raw_Data!F62)</f>
        <v/>
      </c>
      <c r="G62" s="21">
        <f>IF(B62="","",CHOOSE(MONTH(B62),"Jan","Feb","Mar","Apr","May","Jun","Jul","Aug","Sep","Oct","Nov","Dec"))</f>
        <v/>
      </c>
      <c r="H62" s="21">
        <f>IF(OR(B62="",E62="",Raw_Data!F62=""),"Missing",IF(COUNTIF($A$2:A62,A62)&gt;1,"Duplicate","Valid"))</f>
        <v/>
      </c>
    </row>
    <row r="63">
      <c r="A63" s="21">
        <f>TRIM(Raw_Data!A63)</f>
        <v/>
      </c>
      <c r="B63" s="22">
        <f>IF(Raw_Data!B63="","",Raw_Data!B63)</f>
        <v/>
      </c>
      <c r="C63" s="21">
        <f>PROPER(TRIM(Raw_Data!C63))</f>
        <v/>
      </c>
      <c r="D63" s="21">
        <f>PROPER(TRIM(Raw_Data!D63))</f>
        <v/>
      </c>
      <c r="E63" s="21">
        <f>IF(Raw_Data!E63="","",Raw_Data!E63)</f>
        <v/>
      </c>
      <c r="F63" s="25">
        <f>IF(Raw_Data!F63="",0,Raw_Data!F63)</f>
        <v/>
      </c>
      <c r="G63" s="21">
        <f>IF(B63="","",CHOOSE(MONTH(B63),"Jan","Feb","Mar","Apr","May","Jun","Jul","Aug","Sep","Oct","Nov","Dec"))</f>
        <v/>
      </c>
      <c r="H63" s="21">
        <f>IF(OR(B63="",E63="",Raw_Data!F63=""),"Missing",IF(COUNTIF($A$2:A63,A63)&gt;1,"Duplicate","Valid"))</f>
        <v/>
      </c>
    </row>
    <row r="64">
      <c r="A64" s="21">
        <f>TRIM(Raw_Data!A64)</f>
        <v/>
      </c>
      <c r="B64" s="22">
        <f>IF(Raw_Data!B64="","",Raw_Data!B64)</f>
        <v/>
      </c>
      <c r="C64" s="21">
        <f>PROPER(TRIM(Raw_Data!C64))</f>
        <v/>
      </c>
      <c r="D64" s="21">
        <f>PROPER(TRIM(Raw_Data!D64))</f>
        <v/>
      </c>
      <c r="E64" s="21">
        <f>IF(Raw_Data!E64="","",Raw_Data!E64)</f>
        <v/>
      </c>
      <c r="F64" s="25">
        <f>IF(Raw_Data!F64="",0,Raw_Data!F64)</f>
        <v/>
      </c>
      <c r="G64" s="21">
        <f>IF(B64="","",CHOOSE(MONTH(B64),"Jan","Feb","Mar","Apr","May","Jun","Jul","Aug","Sep","Oct","Nov","Dec"))</f>
        <v/>
      </c>
      <c r="H64" s="21">
        <f>IF(OR(B64="",E64="",Raw_Data!F64=""),"Missing",IF(COUNTIF($A$2:A64,A64)&gt;1,"Duplicate","Valid"))</f>
        <v/>
      </c>
    </row>
    <row r="65">
      <c r="A65" s="21">
        <f>TRIM(Raw_Data!A65)</f>
        <v/>
      </c>
      <c r="B65" s="22">
        <f>IF(Raw_Data!B65="","",Raw_Data!B65)</f>
        <v/>
      </c>
      <c r="C65" s="21">
        <f>PROPER(TRIM(Raw_Data!C65))</f>
        <v/>
      </c>
      <c r="D65" s="21">
        <f>PROPER(TRIM(Raw_Data!D65))</f>
        <v/>
      </c>
      <c r="E65" s="21">
        <f>IF(Raw_Data!E65="","",Raw_Data!E65)</f>
        <v/>
      </c>
      <c r="F65" s="25">
        <f>IF(Raw_Data!F65="",0,Raw_Data!F65)</f>
        <v/>
      </c>
      <c r="G65" s="21">
        <f>IF(B65="","",CHOOSE(MONTH(B65),"Jan","Feb","Mar","Apr","May","Jun","Jul","Aug","Sep","Oct","Nov","Dec"))</f>
        <v/>
      </c>
      <c r="H65" s="21">
        <f>IF(OR(B65="",E65="",Raw_Data!F65=""),"Missing",IF(COUNTIF($A$2:A65,A65)&gt;1,"Duplicate","Valid"))</f>
        <v/>
      </c>
    </row>
    <row r="66">
      <c r="A66" s="21">
        <f>TRIM(Raw_Data!A66)</f>
        <v/>
      </c>
      <c r="B66" s="22">
        <f>IF(Raw_Data!B66="","",Raw_Data!B66)</f>
        <v/>
      </c>
      <c r="C66" s="21">
        <f>PROPER(TRIM(Raw_Data!C66))</f>
        <v/>
      </c>
      <c r="D66" s="21">
        <f>PROPER(TRIM(Raw_Data!D66))</f>
        <v/>
      </c>
      <c r="E66" s="21">
        <f>IF(Raw_Data!E66="","",Raw_Data!E66)</f>
        <v/>
      </c>
      <c r="F66" s="25">
        <f>IF(Raw_Data!F66="",0,Raw_Data!F66)</f>
        <v/>
      </c>
      <c r="G66" s="21">
        <f>IF(B66="","",CHOOSE(MONTH(B66),"Jan","Feb","Mar","Apr","May","Jun","Jul","Aug","Sep","Oct","Nov","Dec"))</f>
        <v/>
      </c>
      <c r="H66" s="21">
        <f>IF(OR(B66="",E66="",Raw_Data!F66=""),"Missing",IF(COUNTIF($A$2:A66,A66)&gt;1,"Duplicate","Valid"))</f>
        <v/>
      </c>
    </row>
    <row r="67">
      <c r="A67" s="21">
        <f>TRIM(Raw_Data!A67)</f>
        <v/>
      </c>
      <c r="B67" s="22">
        <f>IF(Raw_Data!B67="","",Raw_Data!B67)</f>
        <v/>
      </c>
      <c r="C67" s="21">
        <f>PROPER(TRIM(Raw_Data!C67))</f>
        <v/>
      </c>
      <c r="D67" s="21">
        <f>PROPER(TRIM(Raw_Data!D67))</f>
        <v/>
      </c>
      <c r="E67" s="21">
        <f>IF(Raw_Data!E67="","",Raw_Data!E67)</f>
        <v/>
      </c>
      <c r="F67" s="25">
        <f>IF(Raw_Data!F67="",0,Raw_Data!F67)</f>
        <v/>
      </c>
      <c r="G67" s="21">
        <f>IF(B67="","",CHOOSE(MONTH(B67),"Jan","Feb","Mar","Apr","May","Jun","Jul","Aug","Sep","Oct","Nov","Dec"))</f>
        <v/>
      </c>
      <c r="H67" s="21">
        <f>IF(OR(B67="",E67="",Raw_Data!F67=""),"Missing",IF(COUNTIF($A$2:A67,A67)&gt;1,"Duplicate","Valid"))</f>
        <v/>
      </c>
    </row>
    <row r="68">
      <c r="A68" s="21">
        <f>TRIM(Raw_Data!A68)</f>
        <v/>
      </c>
      <c r="B68" s="22">
        <f>IF(Raw_Data!B68="","",Raw_Data!B68)</f>
        <v/>
      </c>
      <c r="C68" s="21">
        <f>PROPER(TRIM(Raw_Data!C68))</f>
        <v/>
      </c>
      <c r="D68" s="21">
        <f>PROPER(TRIM(Raw_Data!D68))</f>
        <v/>
      </c>
      <c r="E68" s="21">
        <f>IF(Raw_Data!E68="","",Raw_Data!E68)</f>
        <v/>
      </c>
      <c r="F68" s="25">
        <f>IF(Raw_Data!F68="",0,Raw_Data!F68)</f>
        <v/>
      </c>
      <c r="G68" s="21">
        <f>IF(B68="","",CHOOSE(MONTH(B68),"Jan","Feb","Mar","Apr","May","Jun","Jul","Aug","Sep","Oct","Nov","Dec"))</f>
        <v/>
      </c>
      <c r="H68" s="21">
        <f>IF(OR(B68="",E68="",Raw_Data!F68=""),"Missing",IF(COUNTIF($A$2:A68,A68)&gt;1,"Duplicate","Valid"))</f>
        <v/>
      </c>
    </row>
    <row r="69">
      <c r="A69" s="21">
        <f>TRIM(Raw_Data!A69)</f>
        <v/>
      </c>
      <c r="B69" s="22">
        <f>IF(Raw_Data!B69="","",Raw_Data!B69)</f>
        <v/>
      </c>
      <c r="C69" s="21">
        <f>PROPER(TRIM(Raw_Data!C69))</f>
        <v/>
      </c>
      <c r="D69" s="21">
        <f>PROPER(TRIM(Raw_Data!D69))</f>
        <v/>
      </c>
      <c r="E69" s="21">
        <f>IF(Raw_Data!E69="","",Raw_Data!E69)</f>
        <v/>
      </c>
      <c r="F69" s="25">
        <f>IF(Raw_Data!F69="",0,Raw_Data!F69)</f>
        <v/>
      </c>
      <c r="G69" s="21">
        <f>IF(B69="","",CHOOSE(MONTH(B69),"Jan","Feb","Mar","Apr","May","Jun","Jul","Aug","Sep","Oct","Nov","Dec"))</f>
        <v/>
      </c>
      <c r="H69" s="21">
        <f>IF(OR(B69="",E69="",Raw_Data!F69=""),"Missing",IF(COUNTIF($A$2:A69,A69)&gt;1,"Duplicate","Valid"))</f>
        <v/>
      </c>
    </row>
    <row r="70">
      <c r="A70" s="21">
        <f>TRIM(Raw_Data!A70)</f>
        <v/>
      </c>
      <c r="B70" s="22">
        <f>IF(Raw_Data!B70="","",Raw_Data!B70)</f>
        <v/>
      </c>
      <c r="C70" s="21">
        <f>PROPER(TRIM(Raw_Data!C70))</f>
        <v/>
      </c>
      <c r="D70" s="21">
        <f>PROPER(TRIM(Raw_Data!D70))</f>
        <v/>
      </c>
      <c r="E70" s="21">
        <f>IF(Raw_Data!E70="","",Raw_Data!E70)</f>
        <v/>
      </c>
      <c r="F70" s="25">
        <f>IF(Raw_Data!F70="",0,Raw_Data!F70)</f>
        <v/>
      </c>
      <c r="G70" s="21">
        <f>IF(B70="","",CHOOSE(MONTH(B70),"Jan","Feb","Mar","Apr","May","Jun","Jul","Aug","Sep","Oct","Nov","Dec"))</f>
        <v/>
      </c>
      <c r="H70" s="21">
        <f>IF(OR(B70="",E70="",Raw_Data!F70=""),"Missing",IF(COUNTIF($A$2:A70,A70)&gt;1,"Duplicate","Valid"))</f>
        <v/>
      </c>
    </row>
    <row r="71">
      <c r="A71" s="21">
        <f>TRIM(Raw_Data!A71)</f>
        <v/>
      </c>
      <c r="B71" s="22">
        <f>IF(Raw_Data!B71="","",Raw_Data!B71)</f>
        <v/>
      </c>
      <c r="C71" s="21">
        <f>PROPER(TRIM(Raw_Data!C71))</f>
        <v/>
      </c>
      <c r="D71" s="21">
        <f>PROPER(TRIM(Raw_Data!D71))</f>
        <v/>
      </c>
      <c r="E71" s="21">
        <f>IF(Raw_Data!E71="","",Raw_Data!E71)</f>
        <v/>
      </c>
      <c r="F71" s="25">
        <f>IF(Raw_Data!F71="",0,Raw_Data!F71)</f>
        <v/>
      </c>
      <c r="G71" s="21">
        <f>IF(B71="","",CHOOSE(MONTH(B71),"Jan","Feb","Mar","Apr","May","Jun","Jul","Aug","Sep","Oct","Nov","Dec"))</f>
        <v/>
      </c>
      <c r="H71" s="21">
        <f>IF(OR(B71="",E71="",Raw_Data!F71=""),"Missing",IF(COUNTIF($A$2:A71,A71)&gt;1,"Duplicate","Valid"))</f>
        <v/>
      </c>
    </row>
    <row r="72">
      <c r="A72" s="21">
        <f>TRIM(Raw_Data!A72)</f>
        <v/>
      </c>
      <c r="B72" s="22">
        <f>IF(Raw_Data!B72="","",Raw_Data!B72)</f>
        <v/>
      </c>
      <c r="C72" s="21">
        <f>PROPER(TRIM(Raw_Data!C72))</f>
        <v/>
      </c>
      <c r="D72" s="21">
        <f>PROPER(TRIM(Raw_Data!D72))</f>
        <v/>
      </c>
      <c r="E72" s="21">
        <f>IF(Raw_Data!E72="","",Raw_Data!E72)</f>
        <v/>
      </c>
      <c r="F72" s="25">
        <f>IF(Raw_Data!F72="",0,Raw_Data!F72)</f>
        <v/>
      </c>
      <c r="G72" s="21">
        <f>IF(B72="","",CHOOSE(MONTH(B72),"Jan","Feb","Mar","Apr","May","Jun","Jul","Aug","Sep","Oct","Nov","Dec"))</f>
        <v/>
      </c>
      <c r="H72" s="21">
        <f>IF(OR(B72="",E72="",Raw_Data!F72=""),"Missing",IF(COUNTIF($A$2:A72,A72)&gt;1,"Duplicate","Valid"))</f>
        <v/>
      </c>
    </row>
    <row r="73">
      <c r="A73" s="21">
        <f>TRIM(Raw_Data!A73)</f>
        <v/>
      </c>
      <c r="B73" s="22">
        <f>IF(Raw_Data!B73="","",Raw_Data!B73)</f>
        <v/>
      </c>
      <c r="C73" s="21">
        <f>PROPER(TRIM(Raw_Data!C73))</f>
        <v/>
      </c>
      <c r="D73" s="21">
        <f>PROPER(TRIM(Raw_Data!D73))</f>
        <v/>
      </c>
      <c r="E73" s="21">
        <f>IF(Raw_Data!E73="","",Raw_Data!E73)</f>
        <v/>
      </c>
      <c r="F73" s="25">
        <f>IF(Raw_Data!F73="",0,Raw_Data!F73)</f>
        <v/>
      </c>
      <c r="G73" s="21">
        <f>IF(B73="","",CHOOSE(MONTH(B73),"Jan","Feb","Mar","Apr","May","Jun","Jul","Aug","Sep","Oct","Nov","Dec"))</f>
        <v/>
      </c>
      <c r="H73" s="21">
        <f>IF(OR(B73="",E73="",Raw_Data!F73=""),"Missing",IF(COUNTIF($A$2:A73,A73)&gt;1,"Duplicate","Valid"))</f>
        <v/>
      </c>
    </row>
    <row r="74">
      <c r="A74" s="21">
        <f>TRIM(Raw_Data!A74)</f>
        <v/>
      </c>
      <c r="B74" s="22">
        <f>IF(Raw_Data!B74="","",Raw_Data!B74)</f>
        <v/>
      </c>
      <c r="C74" s="21">
        <f>PROPER(TRIM(Raw_Data!C74))</f>
        <v/>
      </c>
      <c r="D74" s="21">
        <f>PROPER(TRIM(Raw_Data!D74))</f>
        <v/>
      </c>
      <c r="E74" s="21">
        <f>IF(Raw_Data!E74="","",Raw_Data!E74)</f>
        <v/>
      </c>
      <c r="F74" s="25">
        <f>IF(Raw_Data!F74="",0,Raw_Data!F74)</f>
        <v/>
      </c>
      <c r="G74" s="21">
        <f>IF(B74="","",CHOOSE(MONTH(B74),"Jan","Feb","Mar","Apr","May","Jun","Jul","Aug","Sep","Oct","Nov","Dec"))</f>
        <v/>
      </c>
      <c r="H74" s="21">
        <f>IF(OR(B74="",E74="",Raw_Data!F74=""),"Missing",IF(COUNTIF($A$2:A74,A74)&gt;1,"Duplicate","Valid"))</f>
        <v/>
      </c>
    </row>
    <row r="75">
      <c r="A75" s="21">
        <f>TRIM(Raw_Data!A75)</f>
        <v/>
      </c>
      <c r="B75" s="22">
        <f>IF(Raw_Data!B75="","",Raw_Data!B75)</f>
        <v/>
      </c>
      <c r="C75" s="21">
        <f>PROPER(TRIM(Raw_Data!C75))</f>
        <v/>
      </c>
      <c r="D75" s="21">
        <f>PROPER(TRIM(Raw_Data!D75))</f>
        <v/>
      </c>
      <c r="E75" s="21">
        <f>IF(Raw_Data!E75="","",Raw_Data!E75)</f>
        <v/>
      </c>
      <c r="F75" s="25">
        <f>IF(Raw_Data!F75="",0,Raw_Data!F75)</f>
        <v/>
      </c>
      <c r="G75" s="21">
        <f>IF(B75="","",CHOOSE(MONTH(B75),"Jan","Feb","Mar","Apr","May","Jun","Jul","Aug","Sep","Oct","Nov","Dec"))</f>
        <v/>
      </c>
      <c r="H75" s="21">
        <f>IF(OR(B75="",E75="",Raw_Data!F75=""),"Missing",IF(COUNTIF($A$2:A75,A75)&gt;1,"Duplicate","Valid"))</f>
        <v/>
      </c>
    </row>
    <row r="76">
      <c r="A76" s="21">
        <f>TRIM(Raw_Data!A76)</f>
        <v/>
      </c>
      <c r="B76" s="22">
        <f>IF(Raw_Data!B76="","",Raw_Data!B76)</f>
        <v/>
      </c>
      <c r="C76" s="21">
        <f>PROPER(TRIM(Raw_Data!C76))</f>
        <v/>
      </c>
      <c r="D76" s="21">
        <f>PROPER(TRIM(Raw_Data!D76))</f>
        <v/>
      </c>
      <c r="E76" s="21">
        <f>IF(Raw_Data!E76="","",Raw_Data!E76)</f>
        <v/>
      </c>
      <c r="F76" s="25">
        <f>IF(Raw_Data!F76="",0,Raw_Data!F76)</f>
        <v/>
      </c>
      <c r="G76" s="21">
        <f>IF(B76="","",CHOOSE(MONTH(B76),"Jan","Feb","Mar","Apr","May","Jun","Jul","Aug","Sep","Oct","Nov","Dec"))</f>
        <v/>
      </c>
      <c r="H76" s="21">
        <f>IF(OR(B76="",E76="",Raw_Data!F76=""),"Missing",IF(COUNTIF($A$2:A76,A76)&gt;1,"Duplicate","Valid"))</f>
        <v/>
      </c>
    </row>
    <row r="77">
      <c r="A77" s="21">
        <f>TRIM(Raw_Data!A77)</f>
        <v/>
      </c>
      <c r="B77" s="22">
        <f>IF(Raw_Data!B77="","",Raw_Data!B77)</f>
        <v/>
      </c>
      <c r="C77" s="21">
        <f>PROPER(TRIM(Raw_Data!C77))</f>
        <v/>
      </c>
      <c r="D77" s="21">
        <f>PROPER(TRIM(Raw_Data!D77))</f>
        <v/>
      </c>
      <c r="E77" s="21">
        <f>IF(Raw_Data!E77="","",Raw_Data!E77)</f>
        <v/>
      </c>
      <c r="F77" s="25">
        <f>IF(Raw_Data!F77="",0,Raw_Data!F77)</f>
        <v/>
      </c>
      <c r="G77" s="21">
        <f>IF(B77="","",CHOOSE(MONTH(B77),"Jan","Feb","Mar","Apr","May","Jun","Jul","Aug","Sep","Oct","Nov","Dec"))</f>
        <v/>
      </c>
      <c r="H77" s="21">
        <f>IF(OR(B77="",E77="",Raw_Data!F77=""),"Missing",IF(COUNTIF($A$2:A77,A77)&gt;1,"Duplicate","Valid"))</f>
        <v/>
      </c>
    </row>
    <row r="78">
      <c r="A78" s="21">
        <f>TRIM(Raw_Data!A78)</f>
        <v/>
      </c>
      <c r="B78" s="22">
        <f>IF(Raw_Data!B78="","",Raw_Data!B78)</f>
        <v/>
      </c>
      <c r="C78" s="21">
        <f>PROPER(TRIM(Raw_Data!C78))</f>
        <v/>
      </c>
      <c r="D78" s="21">
        <f>PROPER(TRIM(Raw_Data!D78))</f>
        <v/>
      </c>
      <c r="E78" s="21">
        <f>IF(Raw_Data!E78="","",Raw_Data!E78)</f>
        <v/>
      </c>
      <c r="F78" s="25">
        <f>IF(Raw_Data!F78="",0,Raw_Data!F78)</f>
        <v/>
      </c>
      <c r="G78" s="21">
        <f>IF(B78="","",CHOOSE(MONTH(B78),"Jan","Feb","Mar","Apr","May","Jun","Jul","Aug","Sep","Oct","Nov","Dec"))</f>
        <v/>
      </c>
      <c r="H78" s="21">
        <f>IF(OR(B78="",E78="",Raw_Data!F78=""),"Missing",IF(COUNTIF($A$2:A78,A78)&gt;1,"Duplicate","Valid"))</f>
        <v/>
      </c>
    </row>
    <row r="79">
      <c r="A79" s="21">
        <f>TRIM(Raw_Data!A79)</f>
        <v/>
      </c>
      <c r="B79" s="22">
        <f>IF(Raw_Data!B79="","",Raw_Data!B79)</f>
        <v/>
      </c>
      <c r="C79" s="21">
        <f>PROPER(TRIM(Raw_Data!C79))</f>
        <v/>
      </c>
      <c r="D79" s="21">
        <f>PROPER(TRIM(Raw_Data!D79))</f>
        <v/>
      </c>
      <c r="E79" s="21">
        <f>IF(Raw_Data!E79="","",Raw_Data!E79)</f>
        <v/>
      </c>
      <c r="F79" s="25">
        <f>IF(Raw_Data!F79="",0,Raw_Data!F79)</f>
        <v/>
      </c>
      <c r="G79" s="21">
        <f>IF(B79="","",CHOOSE(MONTH(B79),"Jan","Feb","Mar","Apr","May","Jun","Jul","Aug","Sep","Oct","Nov","Dec"))</f>
        <v/>
      </c>
      <c r="H79" s="21">
        <f>IF(OR(B79="",E79="",Raw_Data!F79=""),"Missing",IF(COUNTIF($A$2:A79,A79)&gt;1,"Duplicate","Valid"))</f>
        <v/>
      </c>
    </row>
    <row r="80">
      <c r="A80" s="21">
        <f>TRIM(Raw_Data!A80)</f>
        <v/>
      </c>
      <c r="B80" s="22">
        <f>IF(Raw_Data!B80="","",Raw_Data!B80)</f>
        <v/>
      </c>
      <c r="C80" s="21">
        <f>PROPER(TRIM(Raw_Data!C80))</f>
        <v/>
      </c>
      <c r="D80" s="21">
        <f>PROPER(TRIM(Raw_Data!D80))</f>
        <v/>
      </c>
      <c r="E80" s="21">
        <f>IF(Raw_Data!E80="","",Raw_Data!E80)</f>
        <v/>
      </c>
      <c r="F80" s="25">
        <f>IF(Raw_Data!F80="",0,Raw_Data!F80)</f>
        <v/>
      </c>
      <c r="G80" s="21">
        <f>IF(B80="","",CHOOSE(MONTH(B80),"Jan","Feb","Mar","Apr","May","Jun","Jul","Aug","Sep","Oct","Nov","Dec"))</f>
        <v/>
      </c>
      <c r="H80" s="21">
        <f>IF(OR(B80="",E80="",Raw_Data!F80=""),"Missing",IF(COUNTIF($A$2:A80,A80)&gt;1,"Duplicate","Valid"))</f>
        <v/>
      </c>
    </row>
    <row r="81">
      <c r="A81" s="21">
        <f>TRIM(Raw_Data!A81)</f>
        <v/>
      </c>
      <c r="B81" s="22">
        <f>IF(Raw_Data!B81="","",Raw_Data!B81)</f>
        <v/>
      </c>
      <c r="C81" s="21">
        <f>PROPER(TRIM(Raw_Data!C81))</f>
        <v/>
      </c>
      <c r="D81" s="21">
        <f>PROPER(TRIM(Raw_Data!D81))</f>
        <v/>
      </c>
      <c r="E81" s="21">
        <f>IF(Raw_Data!E81="","",Raw_Data!E81)</f>
        <v/>
      </c>
      <c r="F81" s="25">
        <f>IF(Raw_Data!F81="",0,Raw_Data!F81)</f>
        <v/>
      </c>
      <c r="G81" s="21">
        <f>IF(B81="","",CHOOSE(MONTH(B81),"Jan","Feb","Mar","Apr","May","Jun","Jul","Aug","Sep","Oct","Nov","Dec"))</f>
        <v/>
      </c>
      <c r="H81" s="21">
        <f>IF(OR(B81="",E81="",Raw_Data!F81=""),"Missing",IF(COUNTIF($A$2:A81,A81)&gt;1,"Duplicate","Valid"))</f>
        <v/>
      </c>
    </row>
    <row r="82">
      <c r="A82" s="21">
        <f>TRIM(Raw_Data!A82)</f>
        <v/>
      </c>
      <c r="B82" s="22">
        <f>IF(Raw_Data!B82="","",Raw_Data!B82)</f>
        <v/>
      </c>
      <c r="C82" s="21">
        <f>PROPER(TRIM(Raw_Data!C82))</f>
        <v/>
      </c>
      <c r="D82" s="21">
        <f>PROPER(TRIM(Raw_Data!D82))</f>
        <v/>
      </c>
      <c r="E82" s="21">
        <f>IF(Raw_Data!E82="","",Raw_Data!E82)</f>
        <v/>
      </c>
      <c r="F82" s="25">
        <f>IF(Raw_Data!F82="",0,Raw_Data!F82)</f>
        <v/>
      </c>
      <c r="G82" s="21">
        <f>IF(B82="","",CHOOSE(MONTH(B82),"Jan","Feb","Mar","Apr","May","Jun","Jul","Aug","Sep","Oct","Nov","Dec"))</f>
        <v/>
      </c>
      <c r="H82" s="21">
        <f>IF(OR(B82="",E82="",Raw_Data!F82=""),"Missing",IF(COUNTIF($A$2:A82,A82)&gt;1,"Duplicate","Valid"))</f>
        <v/>
      </c>
    </row>
    <row r="83">
      <c r="A83" s="21">
        <f>TRIM(Raw_Data!A83)</f>
        <v/>
      </c>
      <c r="B83" s="22">
        <f>IF(Raw_Data!B83="","",Raw_Data!B83)</f>
        <v/>
      </c>
      <c r="C83" s="21">
        <f>PROPER(TRIM(Raw_Data!C83))</f>
        <v/>
      </c>
      <c r="D83" s="21">
        <f>PROPER(TRIM(Raw_Data!D83))</f>
        <v/>
      </c>
      <c r="E83" s="21">
        <f>IF(Raw_Data!E83="","",Raw_Data!E83)</f>
        <v/>
      </c>
      <c r="F83" s="25">
        <f>IF(Raw_Data!F83="",0,Raw_Data!F83)</f>
        <v/>
      </c>
      <c r="G83" s="21">
        <f>IF(B83="","",CHOOSE(MONTH(B83),"Jan","Feb","Mar","Apr","May","Jun","Jul","Aug","Sep","Oct","Nov","Dec"))</f>
        <v/>
      </c>
      <c r="H83" s="21">
        <f>IF(OR(B83="",E83="",Raw_Data!F83=""),"Missing",IF(COUNTIF($A$2:A83,A83)&gt;1,"Duplicate","Valid"))</f>
        <v/>
      </c>
    </row>
    <row r="84">
      <c r="A84" s="21">
        <f>TRIM(Raw_Data!A84)</f>
        <v/>
      </c>
      <c r="B84" s="22">
        <f>IF(Raw_Data!B84="","",Raw_Data!B84)</f>
        <v/>
      </c>
      <c r="C84" s="21">
        <f>PROPER(TRIM(Raw_Data!C84))</f>
        <v/>
      </c>
      <c r="D84" s="21">
        <f>PROPER(TRIM(Raw_Data!D84))</f>
        <v/>
      </c>
      <c r="E84" s="21">
        <f>IF(Raw_Data!E84="","",Raw_Data!E84)</f>
        <v/>
      </c>
      <c r="F84" s="25">
        <f>IF(Raw_Data!F84="",0,Raw_Data!F84)</f>
        <v/>
      </c>
      <c r="G84" s="21">
        <f>IF(B84="","",CHOOSE(MONTH(B84),"Jan","Feb","Mar","Apr","May","Jun","Jul","Aug","Sep","Oct","Nov","Dec"))</f>
        <v/>
      </c>
      <c r="H84" s="21">
        <f>IF(OR(B84="",E84="",Raw_Data!F84=""),"Missing",IF(COUNTIF($A$2:A84,A84)&gt;1,"Duplicate","Valid"))</f>
        <v/>
      </c>
    </row>
    <row r="85">
      <c r="A85" s="21">
        <f>TRIM(Raw_Data!A85)</f>
        <v/>
      </c>
      <c r="B85" s="22">
        <f>IF(Raw_Data!B85="","",Raw_Data!B85)</f>
        <v/>
      </c>
      <c r="C85" s="21">
        <f>PROPER(TRIM(Raw_Data!C85))</f>
        <v/>
      </c>
      <c r="D85" s="21">
        <f>PROPER(TRIM(Raw_Data!D85))</f>
        <v/>
      </c>
      <c r="E85" s="21">
        <f>IF(Raw_Data!E85="","",Raw_Data!E85)</f>
        <v/>
      </c>
      <c r="F85" s="25">
        <f>IF(Raw_Data!F85="",0,Raw_Data!F85)</f>
        <v/>
      </c>
      <c r="G85" s="21">
        <f>IF(B85="","",CHOOSE(MONTH(B85),"Jan","Feb","Mar","Apr","May","Jun","Jul","Aug","Sep","Oct","Nov","Dec"))</f>
        <v/>
      </c>
      <c r="H85" s="21">
        <f>IF(OR(B85="",E85="",Raw_Data!F85=""),"Missing",IF(COUNTIF($A$2:A85,A85)&gt;1,"Duplicate","Valid"))</f>
        <v/>
      </c>
    </row>
    <row r="86">
      <c r="A86" s="21">
        <f>TRIM(Raw_Data!A86)</f>
        <v/>
      </c>
      <c r="B86" s="22">
        <f>IF(Raw_Data!B86="","",Raw_Data!B86)</f>
        <v/>
      </c>
      <c r="C86" s="21">
        <f>PROPER(TRIM(Raw_Data!C86))</f>
        <v/>
      </c>
      <c r="D86" s="21">
        <f>PROPER(TRIM(Raw_Data!D86))</f>
        <v/>
      </c>
      <c r="E86" s="21">
        <f>IF(Raw_Data!E86="","",Raw_Data!E86)</f>
        <v/>
      </c>
      <c r="F86" s="25">
        <f>IF(Raw_Data!F86="",0,Raw_Data!F86)</f>
        <v/>
      </c>
      <c r="G86" s="21">
        <f>IF(B86="","",CHOOSE(MONTH(B86),"Jan","Feb","Mar","Apr","May","Jun","Jul","Aug","Sep","Oct","Nov","Dec"))</f>
        <v/>
      </c>
      <c r="H86" s="21">
        <f>IF(OR(B86="",E86="",Raw_Data!F86=""),"Missing",IF(COUNTIF($A$2:A86,A86)&gt;1,"Duplicate","Valid"))</f>
        <v/>
      </c>
    </row>
    <row r="87">
      <c r="A87" s="21">
        <f>TRIM(Raw_Data!A87)</f>
        <v/>
      </c>
      <c r="B87" s="22">
        <f>IF(Raw_Data!B87="","",Raw_Data!B87)</f>
        <v/>
      </c>
      <c r="C87" s="21">
        <f>PROPER(TRIM(Raw_Data!C87))</f>
        <v/>
      </c>
      <c r="D87" s="21">
        <f>PROPER(TRIM(Raw_Data!D87))</f>
        <v/>
      </c>
      <c r="E87" s="21">
        <f>IF(Raw_Data!E87="","",Raw_Data!E87)</f>
        <v/>
      </c>
      <c r="F87" s="25">
        <f>IF(Raw_Data!F87="",0,Raw_Data!F87)</f>
        <v/>
      </c>
      <c r="G87" s="21">
        <f>IF(B87="","",CHOOSE(MONTH(B87),"Jan","Feb","Mar","Apr","May","Jun","Jul","Aug","Sep","Oct","Nov","Dec"))</f>
        <v/>
      </c>
      <c r="H87" s="21">
        <f>IF(OR(B87="",E87="",Raw_Data!F87=""),"Missing",IF(COUNTIF($A$2:A87,A87)&gt;1,"Duplicate","Valid"))</f>
        <v/>
      </c>
    </row>
    <row r="88">
      <c r="A88" s="21">
        <f>TRIM(Raw_Data!A88)</f>
        <v/>
      </c>
      <c r="B88" s="22">
        <f>IF(Raw_Data!B88="","",Raw_Data!B88)</f>
        <v/>
      </c>
      <c r="C88" s="21">
        <f>PROPER(TRIM(Raw_Data!C88))</f>
        <v/>
      </c>
      <c r="D88" s="21">
        <f>PROPER(TRIM(Raw_Data!D88))</f>
        <v/>
      </c>
      <c r="E88" s="21">
        <f>IF(Raw_Data!E88="","",Raw_Data!E88)</f>
        <v/>
      </c>
      <c r="F88" s="25">
        <f>IF(Raw_Data!F88="",0,Raw_Data!F88)</f>
        <v/>
      </c>
      <c r="G88" s="21">
        <f>IF(B88="","",CHOOSE(MONTH(B88),"Jan","Feb","Mar","Apr","May","Jun","Jul","Aug","Sep","Oct","Nov","Dec"))</f>
        <v/>
      </c>
      <c r="H88" s="21">
        <f>IF(OR(B88="",E88="",Raw_Data!F88=""),"Missing",IF(COUNTIF($A$2:A88,A88)&gt;1,"Duplicate","Valid"))</f>
        <v/>
      </c>
    </row>
    <row r="89">
      <c r="A89" s="21">
        <f>TRIM(Raw_Data!A89)</f>
        <v/>
      </c>
      <c r="B89" s="22">
        <f>IF(Raw_Data!B89="","",Raw_Data!B89)</f>
        <v/>
      </c>
      <c r="C89" s="21">
        <f>PROPER(TRIM(Raw_Data!C89))</f>
        <v/>
      </c>
      <c r="D89" s="21">
        <f>PROPER(TRIM(Raw_Data!D89))</f>
        <v/>
      </c>
      <c r="E89" s="21">
        <f>IF(Raw_Data!E89="","",Raw_Data!E89)</f>
        <v/>
      </c>
      <c r="F89" s="25">
        <f>IF(Raw_Data!F89="",0,Raw_Data!F89)</f>
        <v/>
      </c>
      <c r="G89" s="21">
        <f>IF(B89="","",CHOOSE(MONTH(B89),"Jan","Feb","Mar","Apr","May","Jun","Jul","Aug","Sep","Oct","Nov","Dec"))</f>
        <v/>
      </c>
      <c r="H89" s="21">
        <f>IF(OR(B89="",E89="",Raw_Data!F89=""),"Missing",IF(COUNTIF($A$2:A89,A89)&gt;1,"Duplicate","Valid"))</f>
        <v/>
      </c>
    </row>
    <row r="90">
      <c r="A90" s="21">
        <f>TRIM(Raw_Data!A90)</f>
        <v/>
      </c>
      <c r="B90" s="22">
        <f>IF(Raw_Data!B90="","",Raw_Data!B90)</f>
        <v/>
      </c>
      <c r="C90" s="21">
        <f>PROPER(TRIM(Raw_Data!C90))</f>
        <v/>
      </c>
      <c r="D90" s="21">
        <f>PROPER(TRIM(Raw_Data!D90))</f>
        <v/>
      </c>
      <c r="E90" s="21">
        <f>IF(Raw_Data!E90="","",Raw_Data!E90)</f>
        <v/>
      </c>
      <c r="F90" s="25">
        <f>IF(Raw_Data!F90="",0,Raw_Data!F90)</f>
        <v/>
      </c>
      <c r="G90" s="21">
        <f>IF(B90="","",CHOOSE(MONTH(B90),"Jan","Feb","Mar","Apr","May","Jun","Jul","Aug","Sep","Oct","Nov","Dec"))</f>
        <v/>
      </c>
      <c r="H90" s="21">
        <f>IF(OR(B90="",E90="",Raw_Data!F90=""),"Missing",IF(COUNTIF($A$2:A90,A90)&gt;1,"Duplicate","Valid"))</f>
        <v/>
      </c>
    </row>
    <row r="91">
      <c r="A91" s="21">
        <f>TRIM(Raw_Data!A91)</f>
        <v/>
      </c>
      <c r="B91" s="22">
        <f>IF(Raw_Data!B91="","",Raw_Data!B91)</f>
        <v/>
      </c>
      <c r="C91" s="21">
        <f>PROPER(TRIM(Raw_Data!C91))</f>
        <v/>
      </c>
      <c r="D91" s="21">
        <f>PROPER(TRIM(Raw_Data!D91))</f>
        <v/>
      </c>
      <c r="E91" s="21">
        <f>IF(Raw_Data!E91="","",Raw_Data!E91)</f>
        <v/>
      </c>
      <c r="F91" s="25">
        <f>IF(Raw_Data!F91="",0,Raw_Data!F91)</f>
        <v/>
      </c>
      <c r="G91" s="21">
        <f>IF(B91="","",CHOOSE(MONTH(B91),"Jan","Feb","Mar","Apr","May","Jun","Jul","Aug","Sep","Oct","Nov","Dec"))</f>
        <v/>
      </c>
      <c r="H91" s="21">
        <f>IF(OR(B91="",E91="",Raw_Data!F91=""),"Missing",IF(COUNTIF($A$2:A91,A91)&gt;1,"Duplicate","Valid"))</f>
        <v/>
      </c>
    </row>
    <row r="92">
      <c r="A92" s="21">
        <f>TRIM(Raw_Data!A92)</f>
        <v/>
      </c>
      <c r="B92" s="22">
        <f>IF(Raw_Data!B92="","",Raw_Data!B92)</f>
        <v/>
      </c>
      <c r="C92" s="21">
        <f>PROPER(TRIM(Raw_Data!C92))</f>
        <v/>
      </c>
      <c r="D92" s="21">
        <f>PROPER(TRIM(Raw_Data!D92))</f>
        <v/>
      </c>
      <c r="E92" s="21">
        <f>IF(Raw_Data!E92="","",Raw_Data!E92)</f>
        <v/>
      </c>
      <c r="F92" s="25">
        <f>IF(Raw_Data!F92="",0,Raw_Data!F92)</f>
        <v/>
      </c>
      <c r="G92" s="21">
        <f>IF(B92="","",CHOOSE(MONTH(B92),"Jan","Feb","Mar","Apr","May","Jun","Jul","Aug","Sep","Oct","Nov","Dec"))</f>
        <v/>
      </c>
      <c r="H92" s="21">
        <f>IF(OR(B92="",E92="",Raw_Data!F92=""),"Missing",IF(COUNTIF($A$2:A92,A92)&gt;1,"Duplicate","Valid"))</f>
        <v/>
      </c>
    </row>
    <row r="93">
      <c r="A93" s="21">
        <f>TRIM(Raw_Data!A93)</f>
        <v/>
      </c>
      <c r="B93" s="22">
        <f>IF(Raw_Data!B93="","",Raw_Data!B93)</f>
        <v/>
      </c>
      <c r="C93" s="21">
        <f>PROPER(TRIM(Raw_Data!C93))</f>
        <v/>
      </c>
      <c r="D93" s="21">
        <f>PROPER(TRIM(Raw_Data!D93))</f>
        <v/>
      </c>
      <c r="E93" s="21">
        <f>IF(Raw_Data!E93="","",Raw_Data!E93)</f>
        <v/>
      </c>
      <c r="F93" s="25">
        <f>IF(Raw_Data!F93="",0,Raw_Data!F93)</f>
        <v/>
      </c>
      <c r="G93" s="21">
        <f>IF(B93="","",CHOOSE(MONTH(B93),"Jan","Feb","Mar","Apr","May","Jun","Jul","Aug","Sep","Oct","Nov","Dec"))</f>
        <v/>
      </c>
      <c r="H93" s="21">
        <f>IF(OR(B93="",E93="",Raw_Data!F93=""),"Missing",IF(COUNTIF($A$2:A93,A93)&gt;1,"Duplicate","Valid"))</f>
        <v/>
      </c>
    </row>
    <row r="94">
      <c r="A94" s="21">
        <f>TRIM(Raw_Data!A94)</f>
        <v/>
      </c>
      <c r="B94" s="22">
        <f>IF(Raw_Data!B94="","",Raw_Data!B94)</f>
        <v/>
      </c>
      <c r="C94" s="21">
        <f>PROPER(TRIM(Raw_Data!C94))</f>
        <v/>
      </c>
      <c r="D94" s="21">
        <f>PROPER(TRIM(Raw_Data!D94))</f>
        <v/>
      </c>
      <c r="E94" s="21">
        <f>IF(Raw_Data!E94="","",Raw_Data!E94)</f>
        <v/>
      </c>
      <c r="F94" s="25">
        <f>IF(Raw_Data!F94="",0,Raw_Data!F94)</f>
        <v/>
      </c>
      <c r="G94" s="21">
        <f>IF(B94="","",CHOOSE(MONTH(B94),"Jan","Feb","Mar","Apr","May","Jun","Jul","Aug","Sep","Oct","Nov","Dec"))</f>
        <v/>
      </c>
      <c r="H94" s="21">
        <f>IF(OR(B94="",E94="",Raw_Data!F94=""),"Missing",IF(COUNTIF($A$2:A94,A94)&gt;1,"Duplicate","Valid"))</f>
        <v/>
      </c>
    </row>
    <row r="95">
      <c r="A95" s="21">
        <f>TRIM(Raw_Data!A95)</f>
        <v/>
      </c>
      <c r="B95" s="22">
        <f>IF(Raw_Data!B95="","",Raw_Data!B95)</f>
        <v/>
      </c>
      <c r="C95" s="21">
        <f>PROPER(TRIM(Raw_Data!C95))</f>
        <v/>
      </c>
      <c r="D95" s="21">
        <f>PROPER(TRIM(Raw_Data!D95))</f>
        <v/>
      </c>
      <c r="E95" s="21">
        <f>IF(Raw_Data!E95="","",Raw_Data!E95)</f>
        <v/>
      </c>
      <c r="F95" s="25">
        <f>IF(Raw_Data!F95="",0,Raw_Data!F95)</f>
        <v/>
      </c>
      <c r="G95" s="21">
        <f>IF(B95="","",CHOOSE(MONTH(B95),"Jan","Feb","Mar","Apr","May","Jun","Jul","Aug","Sep","Oct","Nov","Dec"))</f>
        <v/>
      </c>
      <c r="H95" s="21">
        <f>IF(OR(B95="",E95="",Raw_Data!F95=""),"Missing",IF(COUNTIF($A$2:A95,A95)&gt;1,"Duplicate","Valid"))</f>
        <v/>
      </c>
    </row>
    <row r="96">
      <c r="A96" s="21">
        <f>TRIM(Raw_Data!A96)</f>
        <v/>
      </c>
      <c r="B96" s="22">
        <f>IF(Raw_Data!B96="","",Raw_Data!B96)</f>
        <v/>
      </c>
      <c r="C96" s="21">
        <f>PROPER(TRIM(Raw_Data!C96))</f>
        <v/>
      </c>
      <c r="D96" s="21">
        <f>PROPER(TRIM(Raw_Data!D96))</f>
        <v/>
      </c>
      <c r="E96" s="21">
        <f>IF(Raw_Data!E96="","",Raw_Data!E96)</f>
        <v/>
      </c>
      <c r="F96" s="25">
        <f>IF(Raw_Data!F96="",0,Raw_Data!F96)</f>
        <v/>
      </c>
      <c r="G96" s="21">
        <f>IF(B96="","",CHOOSE(MONTH(B96),"Jan","Feb","Mar","Apr","May","Jun","Jul","Aug","Sep","Oct","Nov","Dec"))</f>
        <v/>
      </c>
      <c r="H96" s="21">
        <f>IF(OR(B96="",E96="",Raw_Data!F96=""),"Missing",IF(COUNTIF($A$2:A96,A96)&gt;1,"Duplicate","Valid"))</f>
        <v/>
      </c>
    </row>
    <row r="97">
      <c r="A97" s="21">
        <f>TRIM(Raw_Data!A97)</f>
        <v/>
      </c>
      <c r="B97" s="22">
        <f>IF(Raw_Data!B97="","",Raw_Data!B97)</f>
        <v/>
      </c>
      <c r="C97" s="21">
        <f>PROPER(TRIM(Raw_Data!C97))</f>
        <v/>
      </c>
      <c r="D97" s="21">
        <f>PROPER(TRIM(Raw_Data!D97))</f>
        <v/>
      </c>
      <c r="E97" s="21">
        <f>IF(Raw_Data!E97="","",Raw_Data!E97)</f>
        <v/>
      </c>
      <c r="F97" s="25">
        <f>IF(Raw_Data!F97="",0,Raw_Data!F97)</f>
        <v/>
      </c>
      <c r="G97" s="21">
        <f>IF(B97="","",CHOOSE(MONTH(B97),"Jan","Feb","Mar","Apr","May","Jun","Jul","Aug","Sep","Oct","Nov","Dec"))</f>
        <v/>
      </c>
      <c r="H97" s="21">
        <f>IF(OR(B97="",E97="",Raw_Data!F97=""),"Missing",IF(COUNTIF($A$2:A97,A97)&gt;1,"Duplicate","Valid"))</f>
        <v/>
      </c>
    </row>
    <row r="98">
      <c r="A98" s="21">
        <f>TRIM(Raw_Data!A98)</f>
        <v/>
      </c>
      <c r="B98" s="22">
        <f>IF(Raw_Data!B98="","",Raw_Data!B98)</f>
        <v/>
      </c>
      <c r="C98" s="21">
        <f>PROPER(TRIM(Raw_Data!C98))</f>
        <v/>
      </c>
      <c r="D98" s="21">
        <f>PROPER(TRIM(Raw_Data!D98))</f>
        <v/>
      </c>
      <c r="E98" s="21">
        <f>IF(Raw_Data!E98="","",Raw_Data!E98)</f>
        <v/>
      </c>
      <c r="F98" s="25">
        <f>IF(Raw_Data!F98="",0,Raw_Data!F98)</f>
        <v/>
      </c>
      <c r="G98" s="21">
        <f>IF(B98="","",CHOOSE(MONTH(B98),"Jan","Feb","Mar","Apr","May","Jun","Jul","Aug","Sep","Oct","Nov","Dec"))</f>
        <v/>
      </c>
      <c r="H98" s="21">
        <f>IF(OR(B98="",E98="",Raw_Data!F98=""),"Missing",IF(COUNTIF($A$2:A98,A98)&gt;1,"Duplicate","Valid"))</f>
        <v/>
      </c>
    </row>
    <row r="99">
      <c r="A99" s="21">
        <f>TRIM(Raw_Data!A99)</f>
        <v/>
      </c>
      <c r="B99" s="22">
        <f>IF(Raw_Data!B99="","",Raw_Data!B99)</f>
        <v/>
      </c>
      <c r="C99" s="21">
        <f>PROPER(TRIM(Raw_Data!C99))</f>
        <v/>
      </c>
      <c r="D99" s="21">
        <f>PROPER(TRIM(Raw_Data!D99))</f>
        <v/>
      </c>
      <c r="E99" s="21">
        <f>IF(Raw_Data!E99="","",Raw_Data!E99)</f>
        <v/>
      </c>
      <c r="F99" s="25">
        <f>IF(Raw_Data!F99="",0,Raw_Data!F99)</f>
        <v/>
      </c>
      <c r="G99" s="21">
        <f>IF(B99="","",CHOOSE(MONTH(B99),"Jan","Feb","Mar","Apr","May","Jun","Jul","Aug","Sep","Oct","Nov","Dec"))</f>
        <v/>
      </c>
      <c r="H99" s="21">
        <f>IF(OR(B99="",E99="",Raw_Data!F99=""),"Missing",IF(COUNTIF($A$2:A99,A99)&gt;1,"Duplicate","Valid"))</f>
        <v/>
      </c>
    </row>
    <row r="100">
      <c r="A100" s="21">
        <f>TRIM(Raw_Data!A100)</f>
        <v/>
      </c>
      <c r="B100" s="22">
        <f>IF(Raw_Data!B100="","",Raw_Data!B100)</f>
        <v/>
      </c>
      <c r="C100" s="21">
        <f>PROPER(TRIM(Raw_Data!C100))</f>
        <v/>
      </c>
      <c r="D100" s="21">
        <f>PROPER(TRIM(Raw_Data!D100))</f>
        <v/>
      </c>
      <c r="E100" s="21">
        <f>IF(Raw_Data!E100="","",Raw_Data!E100)</f>
        <v/>
      </c>
      <c r="F100" s="25">
        <f>IF(Raw_Data!F100="",0,Raw_Data!F100)</f>
        <v/>
      </c>
      <c r="G100" s="21">
        <f>IF(B100="","",CHOOSE(MONTH(B100),"Jan","Feb","Mar","Apr","May","Jun","Jul","Aug","Sep","Oct","Nov","Dec"))</f>
        <v/>
      </c>
      <c r="H100" s="21">
        <f>IF(OR(B100="",E100="",Raw_Data!F100=""),"Missing",IF(COUNTIF($A$2:A100,A100)&gt;1,"Duplicate","Valid"))</f>
        <v/>
      </c>
    </row>
    <row r="101">
      <c r="A101" s="21">
        <f>TRIM(Raw_Data!A101)</f>
        <v/>
      </c>
      <c r="B101" s="22">
        <f>IF(Raw_Data!B101="","",Raw_Data!B101)</f>
        <v/>
      </c>
      <c r="C101" s="21">
        <f>PROPER(TRIM(Raw_Data!C101))</f>
        <v/>
      </c>
      <c r="D101" s="21">
        <f>PROPER(TRIM(Raw_Data!D101))</f>
        <v/>
      </c>
      <c r="E101" s="21">
        <f>IF(Raw_Data!E101="","",Raw_Data!E101)</f>
        <v/>
      </c>
      <c r="F101" s="25">
        <f>IF(Raw_Data!F101="",0,Raw_Data!F101)</f>
        <v/>
      </c>
      <c r="G101" s="21">
        <f>IF(B101="","",CHOOSE(MONTH(B101),"Jan","Feb","Mar","Apr","May","Jun","Jul","Aug","Sep","Oct","Nov","Dec"))</f>
        <v/>
      </c>
      <c r="H101" s="21">
        <f>IF(OR(B101="",E101="",Raw_Data!F101=""),"Missing",IF(COUNTIF($A$2:A101,A101)&gt;1,"Duplicate","Valid"))</f>
        <v/>
      </c>
    </row>
  </sheetData>
  <mergeCells count="1">
    <mergeCell ref="J7:K11"/>
  </mergeCells>
  <conditionalFormatting sqref="H2:H101">
    <cfRule type="cellIs" priority="1" operator="equal" dxfId="0">
      <formula>"Valid"</formula>
    </cfRule>
    <cfRule type="cellIs" priority="2" operator="notEqual" dxfId="1">
      <formula>"Valid"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10" customWidth="1" min="4" max="4"/>
    <col width="14" customWidth="1" min="5" max="5"/>
    <col width="3" customWidth="1" min="6" max="6"/>
    <col width="3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29" t="inlineStr">
        <is>
          <t>Pivot Tables (Summary) - सर्व Valid data वर आधारित</t>
        </is>
      </c>
    </row>
    <row r="3">
      <c r="A3" s="30" t="inlineStr">
        <is>
          <t>1) Region नुसार</t>
        </is>
      </c>
      <c r="H3" s="30" t="inlineStr">
        <is>
          <t>3) Month नुसार</t>
        </is>
      </c>
    </row>
    <row r="4">
      <c r="A4" s="19" t="inlineStr">
        <is>
          <t>Name</t>
        </is>
      </c>
      <c r="B4" s="19" t="inlineStr">
        <is>
          <t>Revenue</t>
        </is>
      </c>
      <c r="C4" s="19" t="inlineStr">
        <is>
          <t>Orders</t>
        </is>
      </c>
      <c r="D4" s="19" t="inlineStr">
        <is>
          <t>Quantity</t>
        </is>
      </c>
      <c r="E4" s="19" t="inlineStr">
        <is>
          <t>Avg Order</t>
        </is>
      </c>
      <c r="H4" s="19" t="inlineStr">
        <is>
          <t>Name</t>
        </is>
      </c>
      <c r="I4" s="19" t="inlineStr">
        <is>
          <t>Revenue</t>
        </is>
      </c>
      <c r="J4" s="19" t="inlineStr">
        <is>
          <t>Orders</t>
        </is>
      </c>
      <c r="K4" s="19" t="inlineStr">
        <is>
          <t>Quantity</t>
        </is>
      </c>
      <c r="L4" s="19" t="inlineStr">
        <is>
          <t>Avg Order</t>
        </is>
      </c>
    </row>
    <row r="5">
      <c r="A5" s="26" t="inlineStr">
        <is>
          <t>Central</t>
        </is>
      </c>
      <c r="B5" s="31">
        <f>SUMIFS(Clean_Data!$F$2:$F$101,Clean_Data!$H$2:$H$101,"Valid",Clean_Data!$C$2:$C$101,A5)</f>
        <v/>
      </c>
      <c r="C5" s="26">
        <f>COUNTIFS(Clean_Data!$H$2:$H$101,"Valid",Clean_Data!$C$2:$C$101,A5)</f>
        <v/>
      </c>
      <c r="D5" s="26">
        <f>SUMIFS(Clean_Data!$E$2:$E$101,Clean_Data!$H$2:$H$101,"Valid",Clean_Data!$C$2:$C$101,A5)</f>
        <v/>
      </c>
      <c r="E5" s="31">
        <f>IFERROR(B5/C5,0)</f>
        <v/>
      </c>
      <c r="H5" s="26" t="inlineStr">
        <is>
          <t>Jan</t>
        </is>
      </c>
      <c r="I5" s="31">
        <f>SUMIFS(Clean_Data!$F$2:$F$101,Clean_Data!$H$2:$H$101,"Valid",Clean_Data!$G$2:$G$101,H5)</f>
        <v/>
      </c>
      <c r="J5" s="26">
        <f>COUNTIFS(Clean_Data!$H$2:$H$101,"Valid",Clean_Data!$G$2:$G$101,H5)</f>
        <v/>
      </c>
      <c r="K5" s="26">
        <f>SUMIFS(Clean_Data!$E$2:$E$101,Clean_Data!$H$2:$H$101,"Valid",Clean_Data!$G$2:$G$101,H5)</f>
        <v/>
      </c>
      <c r="L5" s="31">
        <f>IFERROR(I5/J5,0)</f>
        <v/>
      </c>
    </row>
    <row r="6">
      <c r="A6" s="26" t="inlineStr">
        <is>
          <t>East</t>
        </is>
      </c>
      <c r="B6" s="31">
        <f>SUMIFS(Clean_Data!$F$2:$F$101,Clean_Data!$H$2:$H$101,"Valid",Clean_Data!$C$2:$C$101,A6)</f>
        <v/>
      </c>
      <c r="C6" s="26">
        <f>COUNTIFS(Clean_Data!$H$2:$H$101,"Valid",Clean_Data!$C$2:$C$101,A6)</f>
        <v/>
      </c>
      <c r="D6" s="26">
        <f>SUMIFS(Clean_Data!$E$2:$E$101,Clean_Data!$H$2:$H$101,"Valid",Clean_Data!$C$2:$C$101,A6)</f>
        <v/>
      </c>
      <c r="E6" s="31">
        <f>IFERROR(B6/C6,0)</f>
        <v/>
      </c>
      <c r="H6" s="26" t="inlineStr">
        <is>
          <t>Feb</t>
        </is>
      </c>
      <c r="I6" s="31">
        <f>SUMIFS(Clean_Data!$F$2:$F$101,Clean_Data!$H$2:$H$101,"Valid",Clean_Data!$G$2:$G$101,H6)</f>
        <v/>
      </c>
      <c r="J6" s="26">
        <f>COUNTIFS(Clean_Data!$H$2:$H$101,"Valid",Clean_Data!$G$2:$G$101,H6)</f>
        <v/>
      </c>
      <c r="K6" s="26">
        <f>SUMIFS(Clean_Data!$E$2:$E$101,Clean_Data!$H$2:$H$101,"Valid",Clean_Data!$G$2:$G$101,H6)</f>
        <v/>
      </c>
      <c r="L6" s="31">
        <f>IFERROR(I6/J6,0)</f>
        <v/>
      </c>
    </row>
    <row r="7">
      <c r="A7" s="26" t="inlineStr">
        <is>
          <t>North</t>
        </is>
      </c>
      <c r="B7" s="31">
        <f>SUMIFS(Clean_Data!$F$2:$F$101,Clean_Data!$H$2:$H$101,"Valid",Clean_Data!$C$2:$C$101,A7)</f>
        <v/>
      </c>
      <c r="C7" s="26">
        <f>COUNTIFS(Clean_Data!$H$2:$H$101,"Valid",Clean_Data!$C$2:$C$101,A7)</f>
        <v/>
      </c>
      <c r="D7" s="26">
        <f>SUMIFS(Clean_Data!$E$2:$E$101,Clean_Data!$H$2:$H$101,"Valid",Clean_Data!$C$2:$C$101,A7)</f>
        <v/>
      </c>
      <c r="E7" s="31">
        <f>IFERROR(B7/C7,0)</f>
        <v/>
      </c>
      <c r="H7" s="26" t="inlineStr">
        <is>
          <t>Mar</t>
        </is>
      </c>
      <c r="I7" s="31">
        <f>SUMIFS(Clean_Data!$F$2:$F$101,Clean_Data!$H$2:$H$101,"Valid",Clean_Data!$G$2:$G$101,H7)</f>
        <v/>
      </c>
      <c r="J7" s="26">
        <f>COUNTIFS(Clean_Data!$H$2:$H$101,"Valid",Clean_Data!$G$2:$G$101,H7)</f>
        <v/>
      </c>
      <c r="K7" s="26">
        <f>SUMIFS(Clean_Data!$E$2:$E$101,Clean_Data!$H$2:$H$101,"Valid",Clean_Data!$G$2:$G$101,H7)</f>
        <v/>
      </c>
      <c r="L7" s="31">
        <f>IFERROR(I7/J7,0)</f>
        <v/>
      </c>
    </row>
    <row r="8">
      <c r="A8" s="26" t="inlineStr">
        <is>
          <t>South</t>
        </is>
      </c>
      <c r="B8" s="31">
        <f>SUMIFS(Clean_Data!$F$2:$F$101,Clean_Data!$H$2:$H$101,"Valid",Clean_Data!$C$2:$C$101,A8)</f>
        <v/>
      </c>
      <c r="C8" s="26">
        <f>COUNTIFS(Clean_Data!$H$2:$H$101,"Valid",Clean_Data!$C$2:$C$101,A8)</f>
        <v/>
      </c>
      <c r="D8" s="26">
        <f>SUMIFS(Clean_Data!$E$2:$E$101,Clean_Data!$H$2:$H$101,"Valid",Clean_Data!$C$2:$C$101,A8)</f>
        <v/>
      </c>
      <c r="E8" s="31">
        <f>IFERROR(B8/C8,0)</f>
        <v/>
      </c>
      <c r="H8" s="26" t="inlineStr">
        <is>
          <t>Apr</t>
        </is>
      </c>
      <c r="I8" s="31">
        <f>SUMIFS(Clean_Data!$F$2:$F$101,Clean_Data!$H$2:$H$101,"Valid",Clean_Data!$G$2:$G$101,H8)</f>
        <v/>
      </c>
      <c r="J8" s="26">
        <f>COUNTIFS(Clean_Data!$H$2:$H$101,"Valid",Clean_Data!$G$2:$G$101,H8)</f>
        <v/>
      </c>
      <c r="K8" s="26">
        <f>SUMIFS(Clean_Data!$E$2:$E$101,Clean_Data!$H$2:$H$101,"Valid",Clean_Data!$G$2:$G$101,H8)</f>
        <v/>
      </c>
      <c r="L8" s="31">
        <f>IFERROR(I8/J8,0)</f>
        <v/>
      </c>
    </row>
    <row r="9">
      <c r="A9" s="26" t="inlineStr">
        <is>
          <t>West</t>
        </is>
      </c>
      <c r="B9" s="31">
        <f>SUMIFS(Clean_Data!$F$2:$F$101,Clean_Data!$H$2:$H$101,"Valid",Clean_Data!$C$2:$C$101,A9)</f>
        <v/>
      </c>
      <c r="C9" s="26">
        <f>COUNTIFS(Clean_Data!$H$2:$H$101,"Valid",Clean_Data!$C$2:$C$101,A9)</f>
        <v/>
      </c>
      <c r="D9" s="26">
        <f>SUMIFS(Clean_Data!$E$2:$E$101,Clean_Data!$H$2:$H$101,"Valid",Clean_Data!$C$2:$C$101,A9)</f>
        <v/>
      </c>
      <c r="E9" s="31">
        <f>IFERROR(B9/C9,0)</f>
        <v/>
      </c>
      <c r="H9" s="26" t="inlineStr">
        <is>
          <t>May</t>
        </is>
      </c>
      <c r="I9" s="31">
        <f>SUMIFS(Clean_Data!$F$2:$F$101,Clean_Data!$H$2:$H$101,"Valid",Clean_Data!$G$2:$G$101,H9)</f>
        <v/>
      </c>
      <c r="J9" s="26">
        <f>COUNTIFS(Clean_Data!$H$2:$H$101,"Valid",Clean_Data!$G$2:$G$101,H9)</f>
        <v/>
      </c>
      <c r="K9" s="26">
        <f>SUMIFS(Clean_Data!$E$2:$E$101,Clean_Data!$H$2:$H$101,"Valid",Clean_Data!$G$2:$G$101,H9)</f>
        <v/>
      </c>
      <c r="L9" s="31">
        <f>IFERROR(I9/J9,0)</f>
        <v/>
      </c>
    </row>
    <row r="10">
      <c r="A10" s="32" t="inlineStr">
        <is>
          <t>Grand Total</t>
        </is>
      </c>
      <c r="B10" s="33">
        <f>SUM(B5:B9)</f>
        <v/>
      </c>
      <c r="C10" s="32">
        <f>SUM(C5:C9)</f>
        <v/>
      </c>
      <c r="D10" s="32">
        <f>SUM(D5:D9)</f>
        <v/>
      </c>
      <c r="E10" s="33">
        <f>IFERROR(B10/C10,0)</f>
        <v/>
      </c>
      <c r="H10" s="26" t="inlineStr">
        <is>
          <t>Jun</t>
        </is>
      </c>
      <c r="I10" s="31">
        <f>SUMIFS(Clean_Data!$F$2:$F$101,Clean_Data!$H$2:$H$101,"Valid",Clean_Data!$G$2:$G$101,H10)</f>
        <v/>
      </c>
      <c r="J10" s="26">
        <f>COUNTIFS(Clean_Data!$H$2:$H$101,"Valid",Clean_Data!$G$2:$G$101,H10)</f>
        <v/>
      </c>
      <c r="K10" s="26">
        <f>SUMIFS(Clean_Data!$E$2:$E$101,Clean_Data!$H$2:$H$101,"Valid",Clean_Data!$G$2:$G$101,H10)</f>
        <v/>
      </c>
      <c r="L10" s="31">
        <f>IFERROR(I10/J10,0)</f>
        <v/>
      </c>
    </row>
    <row r="11">
      <c r="H11" s="26" t="inlineStr">
        <is>
          <t>Jul</t>
        </is>
      </c>
      <c r="I11" s="31">
        <f>SUMIFS(Clean_Data!$F$2:$F$101,Clean_Data!$H$2:$H$101,"Valid",Clean_Data!$G$2:$G$101,H11)</f>
        <v/>
      </c>
      <c r="J11" s="26">
        <f>COUNTIFS(Clean_Data!$H$2:$H$101,"Valid",Clean_Data!$G$2:$G$101,H11)</f>
        <v/>
      </c>
      <c r="K11" s="26">
        <f>SUMIFS(Clean_Data!$E$2:$E$101,Clean_Data!$H$2:$H$101,"Valid",Clean_Data!$G$2:$G$101,H11)</f>
        <v/>
      </c>
      <c r="L11" s="31">
        <f>IFERROR(I11/J11,0)</f>
        <v/>
      </c>
    </row>
    <row r="12">
      <c r="A12" s="30" t="inlineStr">
        <is>
          <t>2) Category नुसार</t>
        </is>
      </c>
      <c r="H12" s="26" t="inlineStr">
        <is>
          <t>Aug</t>
        </is>
      </c>
      <c r="I12" s="31">
        <f>SUMIFS(Clean_Data!$F$2:$F$101,Clean_Data!$H$2:$H$101,"Valid",Clean_Data!$G$2:$G$101,H12)</f>
        <v/>
      </c>
      <c r="J12" s="26">
        <f>COUNTIFS(Clean_Data!$H$2:$H$101,"Valid",Clean_Data!$G$2:$G$101,H12)</f>
        <v/>
      </c>
      <c r="K12" s="26">
        <f>SUMIFS(Clean_Data!$E$2:$E$101,Clean_Data!$H$2:$H$101,"Valid",Clean_Data!$G$2:$G$101,H12)</f>
        <v/>
      </c>
      <c r="L12" s="31">
        <f>IFERROR(I12/J12,0)</f>
        <v/>
      </c>
    </row>
    <row r="13">
      <c r="A13" s="19" t="inlineStr">
        <is>
          <t>Name</t>
        </is>
      </c>
      <c r="B13" s="19" t="inlineStr">
        <is>
          <t>Revenue</t>
        </is>
      </c>
      <c r="C13" s="19" t="inlineStr">
        <is>
          <t>Orders</t>
        </is>
      </c>
      <c r="D13" s="19" t="inlineStr">
        <is>
          <t>Quantity</t>
        </is>
      </c>
      <c r="E13" s="19" t="inlineStr">
        <is>
          <t>Avg Order</t>
        </is>
      </c>
      <c r="H13" s="26" t="inlineStr">
        <is>
          <t>Sep</t>
        </is>
      </c>
      <c r="I13" s="31">
        <f>SUMIFS(Clean_Data!$F$2:$F$101,Clean_Data!$H$2:$H$101,"Valid",Clean_Data!$G$2:$G$101,H13)</f>
        <v/>
      </c>
      <c r="J13" s="26">
        <f>COUNTIFS(Clean_Data!$H$2:$H$101,"Valid",Clean_Data!$G$2:$G$101,H13)</f>
        <v/>
      </c>
      <c r="K13" s="26">
        <f>SUMIFS(Clean_Data!$E$2:$E$101,Clean_Data!$H$2:$H$101,"Valid",Clean_Data!$G$2:$G$101,H13)</f>
        <v/>
      </c>
      <c r="L13" s="31">
        <f>IFERROR(I13/J13,0)</f>
        <v/>
      </c>
    </row>
    <row r="14">
      <c r="A14" s="26" t="inlineStr">
        <is>
          <t>Electronics</t>
        </is>
      </c>
      <c r="B14" s="31">
        <f>SUMIFS(Clean_Data!$F$2:$F$101,Clean_Data!$H$2:$H$101,"Valid",Clean_Data!$D$2:$D$101,A14)</f>
        <v/>
      </c>
      <c r="C14" s="26">
        <f>COUNTIFS(Clean_Data!$H$2:$H$101,"Valid",Clean_Data!$D$2:$D$101,A14)</f>
        <v/>
      </c>
      <c r="D14" s="26">
        <f>SUMIFS(Clean_Data!$E$2:$E$101,Clean_Data!$H$2:$H$101,"Valid",Clean_Data!$D$2:$D$101,A14)</f>
        <v/>
      </c>
      <c r="E14" s="31">
        <f>IFERROR(B14/C14,0)</f>
        <v/>
      </c>
      <c r="H14" s="32" t="inlineStr">
        <is>
          <t>Grand Total</t>
        </is>
      </c>
      <c r="I14" s="33">
        <f>SUM(I5:I13)</f>
        <v/>
      </c>
      <c r="J14" s="32">
        <f>SUM(J5:J13)</f>
        <v/>
      </c>
      <c r="K14" s="32">
        <f>SUM(K5:K13)</f>
        <v/>
      </c>
      <c r="L14" s="33">
        <f>IFERROR(I14/J14,0)</f>
        <v/>
      </c>
    </row>
    <row r="15">
      <c r="A15" s="26" t="inlineStr">
        <is>
          <t>Fashion</t>
        </is>
      </c>
      <c r="B15" s="31">
        <f>SUMIFS(Clean_Data!$F$2:$F$101,Clean_Data!$H$2:$H$101,"Valid",Clean_Data!$D$2:$D$101,A15)</f>
        <v/>
      </c>
      <c r="C15" s="26">
        <f>COUNTIFS(Clean_Data!$H$2:$H$101,"Valid",Clean_Data!$D$2:$D$101,A15)</f>
        <v/>
      </c>
      <c r="D15" s="26">
        <f>SUMIFS(Clean_Data!$E$2:$E$101,Clean_Data!$H$2:$H$101,"Valid",Clean_Data!$D$2:$D$101,A15)</f>
        <v/>
      </c>
      <c r="E15" s="31">
        <f>IFERROR(B15/C15,0)</f>
        <v/>
      </c>
    </row>
    <row r="16">
      <c r="A16" s="26" t="inlineStr">
        <is>
          <t>Home Decor</t>
        </is>
      </c>
      <c r="B16" s="31">
        <f>SUMIFS(Clean_Data!$F$2:$F$101,Clean_Data!$H$2:$H$101,"Valid",Clean_Data!$D$2:$D$101,A16)</f>
        <v/>
      </c>
      <c r="C16" s="26">
        <f>COUNTIFS(Clean_Data!$H$2:$H$101,"Valid",Clean_Data!$D$2:$D$101,A16)</f>
        <v/>
      </c>
      <c r="D16" s="26">
        <f>SUMIFS(Clean_Data!$E$2:$E$101,Clean_Data!$H$2:$H$101,"Valid",Clean_Data!$D$2:$D$101,A16)</f>
        <v/>
      </c>
      <c r="E16" s="31">
        <f>IFERROR(B16/C16,0)</f>
        <v/>
      </c>
    </row>
    <row r="17">
      <c r="A17" s="26" t="inlineStr">
        <is>
          <t>Beauty</t>
        </is>
      </c>
      <c r="B17" s="31">
        <f>SUMIFS(Clean_Data!$F$2:$F$101,Clean_Data!$H$2:$H$101,"Valid",Clean_Data!$D$2:$D$101,A17)</f>
        <v/>
      </c>
      <c r="C17" s="26">
        <f>COUNTIFS(Clean_Data!$H$2:$H$101,"Valid",Clean_Data!$D$2:$D$101,A17)</f>
        <v/>
      </c>
      <c r="D17" s="26">
        <f>SUMIFS(Clean_Data!$E$2:$E$101,Clean_Data!$H$2:$H$101,"Valid",Clean_Data!$D$2:$D$101,A17)</f>
        <v/>
      </c>
      <c r="E17" s="31">
        <f>IFERROR(B17/C17,0)</f>
        <v/>
      </c>
      <c r="H17" s="30" t="inlineStr">
        <is>
          <t>4) Region x Category (Cross-tab)</t>
        </is>
      </c>
    </row>
    <row r="18">
      <c r="A18" s="26" t="inlineStr">
        <is>
          <t>Sports</t>
        </is>
      </c>
      <c r="B18" s="31">
        <f>SUMIFS(Clean_Data!$F$2:$F$101,Clean_Data!$H$2:$H$101,"Valid",Clean_Data!$D$2:$D$101,A18)</f>
        <v/>
      </c>
      <c r="C18" s="26">
        <f>COUNTIFS(Clean_Data!$H$2:$H$101,"Valid",Clean_Data!$D$2:$D$101,A18)</f>
        <v/>
      </c>
      <c r="D18" s="26">
        <f>SUMIFS(Clean_Data!$E$2:$E$101,Clean_Data!$H$2:$H$101,"Valid",Clean_Data!$D$2:$D$101,A18)</f>
        <v/>
      </c>
      <c r="E18" s="31">
        <f>IFERROR(B18/C18,0)</f>
        <v/>
      </c>
      <c r="H18" s="19" t="inlineStr">
        <is>
          <t>Region</t>
        </is>
      </c>
      <c r="I18" s="19" t="inlineStr">
        <is>
          <t>Electronics</t>
        </is>
      </c>
      <c r="J18" s="19" t="inlineStr">
        <is>
          <t>Fashion</t>
        </is>
      </c>
      <c r="K18" s="19" t="inlineStr">
        <is>
          <t>Home Decor</t>
        </is>
      </c>
      <c r="L18" s="19" t="inlineStr">
        <is>
          <t>Beauty</t>
        </is>
      </c>
      <c r="M18" s="19" t="inlineStr">
        <is>
          <t>Sports</t>
        </is>
      </c>
      <c r="N18" s="19" t="inlineStr">
        <is>
          <t>Total</t>
        </is>
      </c>
    </row>
    <row r="19">
      <c r="A19" s="32" t="inlineStr">
        <is>
          <t>Grand Total</t>
        </is>
      </c>
      <c r="B19" s="33">
        <f>SUM(B14:B18)</f>
        <v/>
      </c>
      <c r="C19" s="32">
        <f>SUM(C14:C18)</f>
        <v/>
      </c>
      <c r="D19" s="32">
        <f>SUM(D14:D18)</f>
        <v/>
      </c>
      <c r="E19" s="33">
        <f>IFERROR(B19/C19,0)</f>
        <v/>
      </c>
      <c r="H19" s="26" t="inlineStr">
        <is>
          <t>Central</t>
        </is>
      </c>
      <c r="I19" s="31">
        <f>SUMIFS(Clean_Data!$F$2:$F$101,Clean_Data!$H$2:$H$101,"Valid",Clean_Data!$C$2:$C$101,$H19,Clean_Data!$D$2:$D$101,I$18)</f>
        <v/>
      </c>
      <c r="J19" s="31">
        <f>SUMIFS(Clean_Data!$F$2:$F$101,Clean_Data!$H$2:$H$101,"Valid",Clean_Data!$C$2:$C$101,$H19,Clean_Data!$D$2:$D$101,J$18)</f>
        <v/>
      </c>
      <c r="K19" s="31">
        <f>SUMIFS(Clean_Data!$F$2:$F$101,Clean_Data!$H$2:$H$101,"Valid",Clean_Data!$C$2:$C$101,$H19,Clean_Data!$D$2:$D$101,K$18)</f>
        <v/>
      </c>
      <c r="L19" s="31">
        <f>SUMIFS(Clean_Data!$F$2:$F$101,Clean_Data!$H$2:$H$101,"Valid",Clean_Data!$C$2:$C$101,$H19,Clean_Data!$D$2:$D$101,L$18)</f>
        <v/>
      </c>
      <c r="M19" s="31">
        <f>SUMIFS(Clean_Data!$F$2:$F$101,Clean_Data!$H$2:$H$101,"Valid",Clean_Data!$C$2:$C$101,$H19,Clean_Data!$D$2:$D$101,M$18)</f>
        <v/>
      </c>
      <c r="N19" s="31">
        <f>SUM(I19:M19)</f>
        <v/>
      </c>
    </row>
    <row r="20">
      <c r="H20" s="26" t="inlineStr">
        <is>
          <t>East</t>
        </is>
      </c>
      <c r="I20" s="31">
        <f>SUMIFS(Clean_Data!$F$2:$F$101,Clean_Data!$H$2:$H$101,"Valid",Clean_Data!$C$2:$C$101,$H20,Clean_Data!$D$2:$D$101,I$18)</f>
        <v/>
      </c>
      <c r="J20" s="31">
        <f>SUMIFS(Clean_Data!$F$2:$F$101,Clean_Data!$H$2:$H$101,"Valid",Clean_Data!$C$2:$C$101,$H20,Clean_Data!$D$2:$D$101,J$18)</f>
        <v/>
      </c>
      <c r="K20" s="31">
        <f>SUMIFS(Clean_Data!$F$2:$F$101,Clean_Data!$H$2:$H$101,"Valid",Clean_Data!$C$2:$C$101,$H20,Clean_Data!$D$2:$D$101,K$18)</f>
        <v/>
      </c>
      <c r="L20" s="31">
        <f>SUMIFS(Clean_Data!$F$2:$F$101,Clean_Data!$H$2:$H$101,"Valid",Clean_Data!$C$2:$C$101,$H20,Clean_Data!$D$2:$D$101,L$18)</f>
        <v/>
      </c>
      <c r="M20" s="31">
        <f>SUMIFS(Clean_Data!$F$2:$F$101,Clean_Data!$H$2:$H$101,"Valid",Clean_Data!$C$2:$C$101,$H20,Clean_Data!$D$2:$D$101,M$18)</f>
        <v/>
      </c>
      <c r="N20" s="31">
        <f>SUM(I20:M20)</f>
        <v/>
      </c>
    </row>
    <row r="21">
      <c r="H21" s="26" t="inlineStr">
        <is>
          <t>North</t>
        </is>
      </c>
      <c r="I21" s="31">
        <f>SUMIFS(Clean_Data!$F$2:$F$101,Clean_Data!$H$2:$H$101,"Valid",Clean_Data!$C$2:$C$101,$H21,Clean_Data!$D$2:$D$101,I$18)</f>
        <v/>
      </c>
      <c r="J21" s="31">
        <f>SUMIFS(Clean_Data!$F$2:$F$101,Clean_Data!$H$2:$H$101,"Valid",Clean_Data!$C$2:$C$101,$H21,Clean_Data!$D$2:$D$101,J$18)</f>
        <v/>
      </c>
      <c r="K21" s="31">
        <f>SUMIFS(Clean_Data!$F$2:$F$101,Clean_Data!$H$2:$H$101,"Valid",Clean_Data!$C$2:$C$101,$H21,Clean_Data!$D$2:$D$101,K$18)</f>
        <v/>
      </c>
      <c r="L21" s="31">
        <f>SUMIFS(Clean_Data!$F$2:$F$101,Clean_Data!$H$2:$H$101,"Valid",Clean_Data!$C$2:$C$101,$H21,Clean_Data!$D$2:$D$101,L$18)</f>
        <v/>
      </c>
      <c r="M21" s="31">
        <f>SUMIFS(Clean_Data!$F$2:$F$101,Clean_Data!$H$2:$H$101,"Valid",Clean_Data!$C$2:$C$101,$H21,Clean_Data!$D$2:$D$101,M$18)</f>
        <v/>
      </c>
      <c r="N21" s="31">
        <f>SUM(I21:M21)</f>
        <v/>
      </c>
    </row>
    <row r="22">
      <c r="H22" s="26" t="inlineStr">
        <is>
          <t>South</t>
        </is>
      </c>
      <c r="I22" s="31">
        <f>SUMIFS(Clean_Data!$F$2:$F$101,Clean_Data!$H$2:$H$101,"Valid",Clean_Data!$C$2:$C$101,$H22,Clean_Data!$D$2:$D$101,I$18)</f>
        <v/>
      </c>
      <c r="J22" s="31">
        <f>SUMIFS(Clean_Data!$F$2:$F$101,Clean_Data!$H$2:$H$101,"Valid",Clean_Data!$C$2:$C$101,$H22,Clean_Data!$D$2:$D$101,J$18)</f>
        <v/>
      </c>
      <c r="K22" s="31">
        <f>SUMIFS(Clean_Data!$F$2:$F$101,Clean_Data!$H$2:$H$101,"Valid",Clean_Data!$C$2:$C$101,$H22,Clean_Data!$D$2:$D$101,K$18)</f>
        <v/>
      </c>
      <c r="L22" s="31">
        <f>SUMIFS(Clean_Data!$F$2:$F$101,Clean_Data!$H$2:$H$101,"Valid",Clean_Data!$C$2:$C$101,$H22,Clean_Data!$D$2:$D$101,L$18)</f>
        <v/>
      </c>
      <c r="M22" s="31">
        <f>SUMIFS(Clean_Data!$F$2:$F$101,Clean_Data!$H$2:$H$101,"Valid",Clean_Data!$C$2:$C$101,$H22,Clean_Data!$D$2:$D$101,M$18)</f>
        <v/>
      </c>
      <c r="N22" s="31">
        <f>SUM(I22:M22)</f>
        <v/>
      </c>
    </row>
    <row r="23">
      <c r="H23" s="26" t="inlineStr">
        <is>
          <t>West</t>
        </is>
      </c>
      <c r="I23" s="31">
        <f>SUMIFS(Clean_Data!$F$2:$F$101,Clean_Data!$H$2:$H$101,"Valid",Clean_Data!$C$2:$C$101,$H23,Clean_Data!$D$2:$D$101,I$18)</f>
        <v/>
      </c>
      <c r="J23" s="31">
        <f>SUMIFS(Clean_Data!$F$2:$F$101,Clean_Data!$H$2:$H$101,"Valid",Clean_Data!$C$2:$C$101,$H23,Clean_Data!$D$2:$D$101,J$18)</f>
        <v/>
      </c>
      <c r="K23" s="31">
        <f>SUMIFS(Clean_Data!$F$2:$F$101,Clean_Data!$H$2:$H$101,"Valid",Clean_Data!$C$2:$C$101,$H23,Clean_Data!$D$2:$D$101,K$18)</f>
        <v/>
      </c>
      <c r="L23" s="31">
        <f>SUMIFS(Clean_Data!$F$2:$F$101,Clean_Data!$H$2:$H$101,"Valid",Clean_Data!$C$2:$C$101,$H23,Clean_Data!$D$2:$D$101,L$18)</f>
        <v/>
      </c>
      <c r="M23" s="31">
        <f>SUMIFS(Clean_Data!$F$2:$F$101,Clean_Data!$H$2:$H$101,"Valid",Clean_Data!$C$2:$C$101,$H23,Clean_Data!$D$2:$D$101,M$18)</f>
        <v/>
      </c>
      <c r="N23" s="31">
        <f>SUM(I23:M23)</f>
        <v/>
      </c>
    </row>
    <row r="24">
      <c r="H24" s="32" t="inlineStr">
        <is>
          <t>Total</t>
        </is>
      </c>
      <c r="I24" s="33">
        <f>SUM(I19:I23)</f>
        <v/>
      </c>
      <c r="J24" s="33">
        <f>SUM(J19:J23)</f>
        <v/>
      </c>
      <c r="K24" s="33">
        <f>SUM(K19:K23)</f>
        <v/>
      </c>
      <c r="L24" s="33">
        <f>SUM(L19:L23)</f>
        <v/>
      </c>
      <c r="M24" s="33">
        <f>SUM(M19:M23)</f>
        <v/>
      </c>
      <c r="N24" s="33">
        <f>SUM(N19:N23)</f>
        <v/>
      </c>
    </row>
  </sheetData>
  <conditionalFormatting sqref="I19:M23">
    <cfRule type="colorScale" priority="1">
      <colorScale>
        <cfvo type="min"/>
        <cfvo type="max"/>
        <color rgb="00FFFFFF"/>
        <color rgb="005B9BD5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" customWidth="1" min="3" max="3"/>
    <col width="14" customWidth="1" min="4" max="4"/>
    <col width="14" customWidth="1" min="5" max="5"/>
    <col width="3" customWidth="1" min="6" max="6"/>
    <col width="10" customWidth="1" min="7" max="7"/>
    <col width="14" customWidth="1" min="8" max="8"/>
    <col width="3" customWidth="1" min="9" max="9"/>
    <col width="16" customWidth="1" min="10" max="10"/>
    <col width="14" customWidth="1" min="11" max="11"/>
  </cols>
  <sheetData>
    <row r="1">
      <c r="A1" s="34" t="inlineStr">
        <is>
          <t>Chart Data (Dashboard filters नुसार आपोआप बदलतो) - हे बदलू नका</t>
        </is>
      </c>
    </row>
    <row r="2">
      <c r="A2" s="21" t="inlineStr">
        <is>
          <t>Region criteria</t>
        </is>
      </c>
      <c r="B2" s="21">
        <f>IF(Dashboard!B8="All","*",Dashboard!B8)</f>
        <v/>
      </c>
    </row>
    <row r="3">
      <c r="A3" s="21" t="inlineStr">
        <is>
          <t>Category criteria</t>
        </is>
      </c>
      <c r="B3" s="21">
        <f>IF(Dashboard!B11="All","*",Dashboard!B11)</f>
        <v/>
      </c>
    </row>
    <row r="4">
      <c r="A4" s="21" t="inlineStr">
        <is>
          <t>Month criteria</t>
        </is>
      </c>
      <c r="B4" s="21">
        <f>IF(Dashboard!B14="All","*",Dashboard!B14)</f>
        <v/>
      </c>
    </row>
    <row r="7">
      <c r="A7" s="19" t="inlineStr">
        <is>
          <t>Region</t>
        </is>
      </c>
      <c r="B7" s="19" t="inlineStr">
        <is>
          <t>Revenue</t>
        </is>
      </c>
      <c r="D7" s="19" t="inlineStr">
        <is>
          <t>Category</t>
        </is>
      </c>
      <c r="E7" s="19" t="inlineStr">
        <is>
          <t>Revenue</t>
        </is>
      </c>
      <c r="G7" s="19" t="inlineStr">
        <is>
          <t>Month</t>
        </is>
      </c>
      <c r="H7" s="19" t="inlineStr">
        <is>
          <t>Revenue</t>
        </is>
      </c>
      <c r="J7" s="19" t="inlineStr">
        <is>
          <t>Quarter</t>
        </is>
      </c>
      <c r="K7" s="19" t="inlineStr">
        <is>
          <t>Revenue</t>
        </is>
      </c>
    </row>
    <row r="8">
      <c r="A8" s="26" t="inlineStr">
        <is>
          <t>Central</t>
        </is>
      </c>
      <c r="B8" s="31">
        <f>SUMIFS(Clean_Data!$F$2:$F$101,Clean_Data!$H$2:$H$101,"Valid",Clean_Data!$D$2:$D$101,$B$3,Clean_Data!$G$2:$G$101,$B$4,Clean_Data!$C$2:$C$101,A8)</f>
        <v/>
      </c>
      <c r="D8" s="26" t="inlineStr">
        <is>
          <t>Electronics</t>
        </is>
      </c>
      <c r="E8" s="31">
        <f>SUMIFS(Clean_Data!$F$2:$F$101,Clean_Data!$H$2:$H$101,"Valid",Clean_Data!$C$2:$C$101,$B$2,Clean_Data!$G$2:$G$101,$B$4,Clean_Data!$D$2:$D$101,D8)</f>
        <v/>
      </c>
      <c r="G8" s="26" t="inlineStr">
        <is>
          <t>Jan</t>
        </is>
      </c>
      <c r="H8" s="31">
        <f>SUMIFS(Clean_Data!$F$2:$F$101,Clean_Data!$H$2:$H$101,"Valid",Clean_Data!$C$2:$C$101,$B$2,Clean_Data!$D$2:$D$101,$B$3,Clean_Data!$G$2:$G$101,G8)</f>
        <v/>
      </c>
      <c r="J8" s="26" t="inlineStr">
        <is>
          <t>Q1 (Jan-Mar)</t>
        </is>
      </c>
      <c r="K8" s="31">
        <f>SUM(H8:H10)</f>
        <v/>
      </c>
    </row>
    <row r="9">
      <c r="A9" s="26" t="inlineStr">
        <is>
          <t>East</t>
        </is>
      </c>
      <c r="B9" s="31">
        <f>SUMIFS(Clean_Data!$F$2:$F$101,Clean_Data!$H$2:$H$101,"Valid",Clean_Data!$D$2:$D$101,$B$3,Clean_Data!$G$2:$G$101,$B$4,Clean_Data!$C$2:$C$101,A9)</f>
        <v/>
      </c>
      <c r="D9" s="26" t="inlineStr">
        <is>
          <t>Fashion</t>
        </is>
      </c>
      <c r="E9" s="31">
        <f>SUMIFS(Clean_Data!$F$2:$F$101,Clean_Data!$H$2:$H$101,"Valid",Clean_Data!$C$2:$C$101,$B$2,Clean_Data!$G$2:$G$101,$B$4,Clean_Data!$D$2:$D$101,D9)</f>
        <v/>
      </c>
      <c r="G9" s="26" t="inlineStr">
        <is>
          <t>Feb</t>
        </is>
      </c>
      <c r="H9" s="31">
        <f>SUMIFS(Clean_Data!$F$2:$F$101,Clean_Data!$H$2:$H$101,"Valid",Clean_Data!$C$2:$C$101,$B$2,Clean_Data!$D$2:$D$101,$B$3,Clean_Data!$G$2:$G$101,G9)</f>
        <v/>
      </c>
      <c r="J9" s="26" t="inlineStr">
        <is>
          <t>Q2 (Apr-Jun)</t>
        </is>
      </c>
      <c r="K9" s="31">
        <f>SUM(H11:H13)</f>
        <v/>
      </c>
    </row>
    <row r="10">
      <c r="A10" s="26" t="inlineStr">
        <is>
          <t>North</t>
        </is>
      </c>
      <c r="B10" s="31">
        <f>SUMIFS(Clean_Data!$F$2:$F$101,Clean_Data!$H$2:$H$101,"Valid",Clean_Data!$D$2:$D$101,$B$3,Clean_Data!$G$2:$G$101,$B$4,Clean_Data!$C$2:$C$101,A10)</f>
        <v/>
      </c>
      <c r="D10" s="26" t="inlineStr">
        <is>
          <t>Home Decor</t>
        </is>
      </c>
      <c r="E10" s="31">
        <f>SUMIFS(Clean_Data!$F$2:$F$101,Clean_Data!$H$2:$H$101,"Valid",Clean_Data!$C$2:$C$101,$B$2,Clean_Data!$G$2:$G$101,$B$4,Clean_Data!$D$2:$D$101,D10)</f>
        <v/>
      </c>
      <c r="G10" s="26" t="inlineStr">
        <is>
          <t>Mar</t>
        </is>
      </c>
      <c r="H10" s="31">
        <f>SUMIFS(Clean_Data!$F$2:$F$101,Clean_Data!$H$2:$H$101,"Valid",Clean_Data!$C$2:$C$101,$B$2,Clean_Data!$D$2:$D$101,$B$3,Clean_Data!$G$2:$G$101,G10)</f>
        <v/>
      </c>
      <c r="J10" s="26" t="inlineStr">
        <is>
          <t>Q3 (Jul-Sep)</t>
        </is>
      </c>
      <c r="K10" s="31">
        <f>SUM(H14:H16)</f>
        <v/>
      </c>
    </row>
    <row r="11">
      <c r="A11" s="26" t="inlineStr">
        <is>
          <t>South</t>
        </is>
      </c>
      <c r="B11" s="31">
        <f>SUMIFS(Clean_Data!$F$2:$F$101,Clean_Data!$H$2:$H$101,"Valid",Clean_Data!$D$2:$D$101,$B$3,Clean_Data!$G$2:$G$101,$B$4,Clean_Data!$C$2:$C$101,A11)</f>
        <v/>
      </c>
      <c r="D11" s="26" t="inlineStr">
        <is>
          <t>Beauty</t>
        </is>
      </c>
      <c r="E11" s="31">
        <f>SUMIFS(Clean_Data!$F$2:$F$101,Clean_Data!$H$2:$H$101,"Valid",Clean_Data!$C$2:$C$101,$B$2,Clean_Data!$G$2:$G$101,$B$4,Clean_Data!$D$2:$D$101,D11)</f>
        <v/>
      </c>
      <c r="G11" s="26" t="inlineStr">
        <is>
          <t>Apr</t>
        </is>
      </c>
      <c r="H11" s="31">
        <f>SUMIFS(Clean_Data!$F$2:$F$101,Clean_Data!$H$2:$H$101,"Valid",Clean_Data!$C$2:$C$101,$B$2,Clean_Data!$D$2:$D$101,$B$3,Clean_Data!$G$2:$G$101,G11)</f>
        <v/>
      </c>
    </row>
    <row r="12">
      <c r="A12" s="26" t="inlineStr">
        <is>
          <t>West</t>
        </is>
      </c>
      <c r="B12" s="31">
        <f>SUMIFS(Clean_Data!$F$2:$F$101,Clean_Data!$H$2:$H$101,"Valid",Clean_Data!$D$2:$D$101,$B$3,Clean_Data!$G$2:$G$101,$B$4,Clean_Data!$C$2:$C$101,A12)</f>
        <v/>
      </c>
      <c r="D12" s="26" t="inlineStr">
        <is>
          <t>Sports</t>
        </is>
      </c>
      <c r="E12" s="31">
        <f>SUMIFS(Clean_Data!$F$2:$F$101,Clean_Data!$H$2:$H$101,"Valid",Clean_Data!$C$2:$C$101,$B$2,Clean_Data!$G$2:$G$101,$B$4,Clean_Data!$D$2:$D$101,D12)</f>
        <v/>
      </c>
      <c r="G12" s="26" t="inlineStr">
        <is>
          <t>May</t>
        </is>
      </c>
      <c r="H12" s="31">
        <f>SUMIFS(Clean_Data!$F$2:$F$101,Clean_Data!$H$2:$H$101,"Valid",Clean_Data!$C$2:$C$101,$B$2,Clean_Data!$D$2:$D$101,$B$3,Clean_Data!$G$2:$G$101,G12)</f>
        <v/>
      </c>
    </row>
    <row r="13">
      <c r="G13" s="26" t="inlineStr">
        <is>
          <t>Jun</t>
        </is>
      </c>
      <c r="H13" s="31">
        <f>SUMIFS(Clean_Data!$F$2:$F$101,Clean_Data!$H$2:$H$101,"Valid",Clean_Data!$C$2:$C$101,$B$2,Clean_Data!$D$2:$D$101,$B$3,Clean_Data!$G$2:$G$101,G13)</f>
        <v/>
      </c>
    </row>
    <row r="14">
      <c r="G14" s="26" t="inlineStr">
        <is>
          <t>Jul</t>
        </is>
      </c>
      <c r="H14" s="31">
        <f>SUMIFS(Clean_Data!$F$2:$F$101,Clean_Data!$H$2:$H$101,"Valid",Clean_Data!$C$2:$C$101,$B$2,Clean_Data!$D$2:$D$101,$B$3,Clean_Data!$G$2:$G$101,G14)</f>
        <v/>
      </c>
    </row>
    <row r="15">
      <c r="G15" s="26" t="inlineStr">
        <is>
          <t>Aug</t>
        </is>
      </c>
      <c r="H15" s="31">
        <f>SUMIFS(Clean_Data!$F$2:$F$101,Clean_Data!$H$2:$H$101,"Valid",Clean_Data!$C$2:$C$101,$B$2,Clean_Data!$D$2:$D$101,$B$3,Clean_Data!$G$2:$G$101,G15)</f>
        <v/>
      </c>
    </row>
    <row r="16">
      <c r="G16" s="26" t="inlineStr">
        <is>
          <t>Sep</t>
        </is>
      </c>
      <c r="H16" s="31">
        <f>SUMIFS(Clean_Data!$F$2:$F$101,Clean_Data!$H$2:$H$101,"Valid",Clean_Data!$C$2:$C$101,$B$2,Clean_Data!$D$2:$D$101,$B$3,Clean_Data!$G$2:$G$101,G16)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2026-09-30T16:49:17Z</dcterms:created>
  <dcterms:modified xmlns:dcterms="http://purl.org/dc/terms/" xmlns:xsi="http://www.w3.org/2001/XMLSchema-instance" xsi:type="dcterms:W3CDTF">2026-09-30T16:49:18Z</dcterms:modified>
</cp:coreProperties>
</file>